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arlescartisser/Downloads/"/>
    </mc:Choice>
  </mc:AlternateContent>
  <xr:revisionPtr revIDLastSave="0" documentId="8_{04E61875-E032-AD4A-A3D1-6E77E98735BE}" xr6:coauthVersionLast="47" xr6:coauthVersionMax="47" xr10:uidLastSave="{00000000-0000-0000-0000-000000000000}"/>
  <bookViews>
    <workbookView xWindow="0" yWindow="660" windowWidth="16380" windowHeight="8200" tabRatio="500" activeTab="2" xr2:uid="{00000000-000D-0000-FFFF-FFFF00000000}"/>
  </bookViews>
  <sheets>
    <sheet name="Market Inputs" sheetId="1" r:id="rId1"/>
    <sheet name="PRS Benchmark" sheetId="2" r:id="rId2"/>
    <sheet name="PBSA Comparables" sheetId="3" r:id="rId3"/>
    <sheet name="Pricing Model" sheetId="4" r:id="rId4"/>
    <sheet name="Market Scorecard" sheetId="5" r:id="rId5"/>
    <sheet name="Sensitiv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6" l="1"/>
  <c r="C23" i="6"/>
  <c r="B23" i="6"/>
  <c r="D22" i="6"/>
  <c r="C22" i="6"/>
  <c r="B22" i="6"/>
  <c r="D16" i="6"/>
  <c r="C16" i="6"/>
  <c r="B16" i="6"/>
  <c r="D15" i="6"/>
  <c r="C15" i="6"/>
  <c r="B15" i="6"/>
  <c r="D14" i="6"/>
  <c r="D26" i="6" s="1"/>
  <c r="C14" i="6"/>
  <c r="C26" i="6" s="1"/>
  <c r="B14" i="6"/>
  <c r="B26" i="6" s="1"/>
  <c r="D13" i="6"/>
  <c r="C13" i="6"/>
  <c r="B13" i="6"/>
  <c r="D12" i="6"/>
  <c r="C12" i="6"/>
  <c r="B12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B29" i="5"/>
  <c r="D29" i="5" s="1"/>
  <c r="F28" i="5"/>
  <c r="B28" i="5"/>
  <c r="H28" i="5" s="1"/>
  <c r="B27" i="5"/>
  <c r="D27" i="5" s="1"/>
  <c r="F26" i="5"/>
  <c r="B26" i="5"/>
  <c r="H26" i="5" s="1"/>
  <c r="B25" i="5"/>
  <c r="D25" i="5" s="1"/>
  <c r="F24" i="5"/>
  <c r="B24" i="5"/>
  <c r="H24" i="5" s="1"/>
  <c r="B23" i="5"/>
  <c r="D23" i="5" s="1"/>
  <c r="F22" i="5"/>
  <c r="B22" i="5"/>
  <c r="H22" i="5" s="1"/>
  <c r="B21" i="5"/>
  <c r="D21" i="5" s="1"/>
  <c r="F20" i="5"/>
  <c r="B20" i="5"/>
  <c r="H20" i="5" s="1"/>
  <c r="B16" i="5"/>
  <c r="E34" i="4"/>
  <c r="D34" i="4"/>
  <c r="B34" i="4"/>
  <c r="E33" i="4"/>
  <c r="D33" i="4"/>
  <c r="B33" i="4"/>
  <c r="E32" i="4"/>
  <c r="D32" i="4"/>
  <c r="B32" i="4"/>
  <c r="D27" i="4"/>
  <c r="D26" i="4"/>
  <c r="D25" i="4"/>
  <c r="D24" i="4"/>
  <c r="D22" i="4"/>
  <c r="D21" i="4"/>
  <c r="D20" i="4"/>
  <c r="D19" i="4"/>
  <c r="D17" i="4"/>
  <c r="D16" i="4"/>
  <c r="D15" i="4"/>
  <c r="D14" i="4"/>
  <c r="B6" i="4"/>
  <c r="E30" i="3"/>
  <c r="G30" i="3" s="1"/>
  <c r="E29" i="3"/>
  <c r="G29" i="3" s="1"/>
  <c r="E28" i="3"/>
  <c r="C9" i="4" s="1"/>
  <c r="E24" i="3"/>
  <c r="B9" i="4" s="1"/>
  <c r="D9" i="4" s="1"/>
  <c r="E9" i="4" s="1"/>
  <c r="E23" i="3"/>
  <c r="E22" i="3"/>
  <c r="B8" i="4" s="1"/>
  <c r="E21" i="3"/>
  <c r="E20" i="3"/>
  <c r="B7" i="4" s="1"/>
  <c r="D7" i="4" s="1"/>
  <c r="F17" i="3"/>
  <c r="F16" i="3"/>
  <c r="F15" i="3"/>
  <c r="F14" i="3"/>
  <c r="F13" i="3"/>
  <c r="F23" i="3" s="1"/>
  <c r="F12" i="3"/>
  <c r="F22" i="3" s="1"/>
  <c r="F11" i="3"/>
  <c r="F10" i="3"/>
  <c r="F9" i="3"/>
  <c r="F8" i="3"/>
  <c r="F21" i="3" s="1"/>
  <c r="F7" i="3"/>
  <c r="F6" i="3"/>
  <c r="F5" i="3"/>
  <c r="F24" i="3" s="1"/>
  <c r="E16" i="2"/>
  <c r="C16" i="2"/>
  <c r="D15" i="2"/>
  <c r="C15" i="2"/>
  <c r="C14" i="2"/>
  <c r="C13" i="2"/>
  <c r="C7" i="4" s="1"/>
  <c r="E12" i="2"/>
  <c r="C12" i="2"/>
  <c r="D7" i="2"/>
  <c r="E14" i="2" s="1"/>
  <c r="C7" i="2"/>
  <c r="D12" i="2" s="1"/>
  <c r="B7" i="2"/>
  <c r="D10" i="1"/>
  <c r="C10" i="1"/>
  <c r="B10" i="1"/>
  <c r="D9" i="1"/>
  <c r="C9" i="1"/>
  <c r="B9" i="1"/>
  <c r="E26" i="4" l="1"/>
  <c r="E21" i="4"/>
  <c r="F21" i="4" s="1"/>
  <c r="G21" i="4" s="1"/>
  <c r="E16" i="4"/>
  <c r="F16" i="4" s="1"/>
  <c r="G16" i="4" s="1"/>
  <c r="E27" i="4"/>
  <c r="E22" i="4"/>
  <c r="E17" i="4"/>
  <c r="F17" i="4" s="1"/>
  <c r="G17" i="4" s="1"/>
  <c r="E24" i="4"/>
  <c r="E19" i="4"/>
  <c r="E14" i="4"/>
  <c r="E25" i="4"/>
  <c r="F25" i="4" s="1"/>
  <c r="G25" i="4" s="1"/>
  <c r="E20" i="4"/>
  <c r="F20" i="4" s="1"/>
  <c r="G20" i="4" s="1"/>
  <c r="E15" i="4"/>
  <c r="F15" i="4" s="1"/>
  <c r="G15" i="4" s="1"/>
  <c r="E7" i="4"/>
  <c r="F22" i="4"/>
  <c r="G22" i="4" s="1"/>
  <c r="F24" i="4"/>
  <c r="G24" i="4" s="1"/>
  <c r="F26" i="4"/>
  <c r="G26" i="4" s="1"/>
  <c r="F14" i="4"/>
  <c r="G14" i="4" s="1"/>
  <c r="F27" i="4"/>
  <c r="G27" i="4" s="1"/>
  <c r="F19" i="4"/>
  <c r="G19" i="4" s="1"/>
  <c r="I32" i="4"/>
  <c r="I33" i="4"/>
  <c r="I34" i="4"/>
  <c r="F21" i="5"/>
  <c r="F30" i="5" s="1"/>
  <c r="F23" i="5"/>
  <c r="F25" i="5"/>
  <c r="F27" i="5"/>
  <c r="F29" i="5"/>
  <c r="E15" i="2"/>
  <c r="H21" i="5"/>
  <c r="H30" i="5" s="1"/>
  <c r="H23" i="5"/>
  <c r="H25" i="5"/>
  <c r="H27" i="5"/>
  <c r="H29" i="5"/>
  <c r="D13" i="2"/>
  <c r="C33" i="4" s="1"/>
  <c r="H33" i="4" s="1"/>
  <c r="E13" i="2"/>
  <c r="C34" i="4" s="1"/>
  <c r="H34" i="4" s="1"/>
  <c r="D16" i="2"/>
  <c r="F20" i="3"/>
  <c r="C6" i="4"/>
  <c r="D6" i="4" s="1"/>
  <c r="E6" i="4" s="1"/>
  <c r="C8" i="4"/>
  <c r="D8" i="4" s="1"/>
  <c r="E8" i="4" s="1"/>
  <c r="C32" i="4"/>
  <c r="H32" i="4" s="1"/>
  <c r="B24" i="6"/>
  <c r="D20" i="5"/>
  <c r="D22" i="5"/>
  <c r="D24" i="5"/>
  <c r="D26" i="5"/>
  <c r="D28" i="5"/>
  <c r="C24" i="6"/>
  <c r="D14" i="2"/>
  <c r="G28" i="3"/>
  <c r="D24" i="6"/>
  <c r="G32" i="4"/>
  <c r="G33" i="4"/>
  <c r="G34" i="4"/>
  <c r="H17" i="4" l="1"/>
  <c r="I17" i="4"/>
  <c r="I19" i="4"/>
  <c r="H19" i="4"/>
  <c r="I24" i="4"/>
  <c r="H24" i="4"/>
  <c r="I14" i="4"/>
  <c r="H14" i="4"/>
  <c r="H22" i="4"/>
  <c r="I22" i="4"/>
  <c r="H27" i="4"/>
  <c r="I27" i="4"/>
  <c r="F32" i="4"/>
  <c r="I15" i="4"/>
  <c r="H15" i="4"/>
  <c r="F33" i="4"/>
  <c r="I20" i="4"/>
  <c r="H20" i="4"/>
  <c r="I16" i="4"/>
  <c r="H16" i="4"/>
  <c r="D30" i="5"/>
  <c r="D31" i="5" s="1"/>
  <c r="I26" i="4"/>
  <c r="H26" i="4"/>
  <c r="F34" i="4"/>
  <c r="I25" i="4"/>
  <c r="H25" i="4"/>
  <c r="I21" i="4"/>
  <c r="H21" i="4"/>
  <c r="H31" i="5" l="1"/>
  <c r="F31" i="5"/>
</calcChain>
</file>

<file path=xl/sharedStrings.xml><?xml version="1.0" encoding="utf-8"?>
<sst xmlns="http://schemas.openxmlformats.org/spreadsheetml/2006/main" count="386" uniqueCount="262">
  <si>
    <t>PBSA ↔ PRS Anchoring Model — Market Inputs</t>
  </si>
  <si>
    <t>Munich · Innsbruck · Passau | March 2026</t>
  </si>
  <si>
    <t>A. CITY-LEVEL DEMOGRAPHICS &amp; MARKET CONTEXT</t>
  </si>
  <si>
    <t>Metric</t>
  </si>
  <si>
    <t>Munich</t>
  </si>
  <si>
    <t>Innsbruck</t>
  </si>
  <si>
    <t>Passau</t>
  </si>
  <si>
    <t>Unit</t>
  </si>
  <si>
    <t>Source</t>
  </si>
  <si>
    <t>Total Student Population</t>
  </si>
  <si>
    <t>students</t>
  </si>
  <si>
    <t>DACH Market Data 2025; Uni Passau Dec 2025</t>
  </si>
  <si>
    <t>No. of Universities / HEIs</t>
  </si>
  <si>
    <t>institutions</t>
  </si>
  <si>
    <t>Universities dataset</t>
  </si>
  <si>
    <t>International Students</t>
  </si>
  <si>
    <t>University enrollment data</t>
  </si>
  <si>
    <t>International Student %</t>
  </si>
  <si>
    <t>%</t>
  </si>
  <si>
    <t>Formula</t>
  </si>
  <si>
    <t>Provision Rate (PBSA Beds / Students)</t>
  </si>
  <si>
    <t>PBSA Beds (approx.)</t>
  </si>
  <si>
    <t>beds</t>
  </si>
  <si>
    <t>DACH Market Data; residences inventory</t>
  </si>
  <si>
    <t>City Population</t>
  </si>
  <si>
    <t>residents</t>
  </si>
  <si>
    <t>Eurostat / municipal stats</t>
  </si>
  <si>
    <t>Median Household Income</t>
  </si>
  <si>
    <t>€/year</t>
  </si>
  <si>
    <t>Destatis / Statistik Austria (est.)</t>
  </si>
  <si>
    <t>GDP per Capita</t>
  </si>
  <si>
    <t>Eurostat NUTS-3 (est.)</t>
  </si>
  <si>
    <t>PRS Avg Rent (€/sqm/mo)</t>
  </si>
  <si>
    <t>€/sqm</t>
  </si>
  <si>
    <t>ImmoScout24 / Wohnungsboerse Q1 2026</t>
  </si>
  <si>
    <t>PRS Rent Growth (YoY)</t>
  </si>
  <si>
    <t>DACH Market Data 2025</t>
  </si>
  <si>
    <t>Avg PBSA Rent (€/mo)</t>
  </si>
  <si>
    <t>€/mo</t>
  </si>
  <si>
    <t>Premium PBSA Rent (€/mo)</t>
  </si>
  <si>
    <t>THE FIZZ / DACH Data (top-tier)</t>
  </si>
  <si>
    <t>Studentenwerk Benchmark (€/mo)</t>
  </si>
  <si>
    <t>Studierendenwerk / OeAD benchmarks</t>
  </si>
  <si>
    <t>PBSA Occupancy Rate</t>
  </si>
  <si>
    <t>PBSA Rent Growth (YoY)</t>
  </si>
  <si>
    <t>B. UNIVERSITY PRESTIGE INDICATORS</t>
  </si>
  <si>
    <t>University</t>
  </si>
  <si>
    <t>City</t>
  </si>
  <si>
    <t>QS World Rank (2025)</t>
  </si>
  <si>
    <t>THE Rank (2025)</t>
  </si>
  <si>
    <t>Prestige Score (1-10)</t>
  </si>
  <si>
    <t>Intl Students</t>
  </si>
  <si>
    <t>Notes</t>
  </si>
  <si>
    <t>LMU Munich</t>
  </si>
  <si>
    <t>Top-ranked German university</t>
  </si>
  <si>
    <t>TU Munich (TUM)</t>
  </si>
  <si>
    <t>45% international; STEM powerhouse</t>
  </si>
  <si>
    <t>HM Munich (UAS)</t>
  </si>
  <si>
    <t>N/A</t>
  </si>
  <si>
    <t>Applied sciences</t>
  </si>
  <si>
    <t>Universität Innsbruck</t>
  </si>
  <si>
    <t>301-350</t>
  </si>
  <si>
    <t>49.9% international; strong in STEM &amp; humanities</t>
  </si>
  <si>
    <t>MedUni Innsbruck</t>
  </si>
  <si>
    <t>Medical university</t>
  </si>
  <si>
    <t>MCI Innsbruck</t>
  </si>
  <si>
    <t>~1,500</t>
  </si>
  <si>
    <t>63 nations represented</t>
  </si>
  <si>
    <t>Universität Passau</t>
  </si>
  <si>
    <t>601-650</t>
  </si>
  <si>
    <t>351-400</t>
  </si>
  <si>
    <t>18.1% international; strong in law, business</t>
  </si>
  <si>
    <t>PRS (Private Rented Sector) Benchmark by City</t>
  </si>
  <si>
    <t>A. PRS RENT SUMMARY (€/sqm/month — New Leases)</t>
  </si>
  <si>
    <t>City Centre</t>
  </si>
  <si>
    <t>€/sqm/mo</t>
  </si>
  <si>
    <t>Outside Centre</t>
  </si>
  <si>
    <t>City Average (New Leases)</t>
  </si>
  <si>
    <t>Existing Contracts (Mietspiegel)</t>
  </si>
  <si>
    <t>B. PRS MONTHLY RENT BY UNIT TYPE (Formula: Avg €/sqm × Size)</t>
  </si>
  <si>
    <t>Unit Type</t>
  </si>
  <si>
    <t>Size (sqm)</t>
  </si>
  <si>
    <t>Munich (€/mo)</t>
  </si>
  <si>
    <t>Innsbruck (€/mo)</t>
  </si>
  <si>
    <t>Passau (€/mo)</t>
  </si>
  <si>
    <t>Micro Studio</t>
  </si>
  <si>
    <t>Classic Studio</t>
  </si>
  <si>
    <t>Premium Studio</t>
  </si>
  <si>
    <t>1-Bed Apartment</t>
  </si>
  <si>
    <t>1-Bed City Centre</t>
  </si>
  <si>
    <t>C. PRS FROM SCRAPED LISTINGS (Innsbruck — Cleaned Dataset, n=170)</t>
  </si>
  <si>
    <t>Statistic</t>
  </si>
  <si>
    <t>Price (€/mo)</t>
  </si>
  <si>
    <t>Size (m²)</t>
  </si>
  <si>
    <t>€/m²</t>
  </si>
  <si>
    <t>Mean</t>
  </si>
  <si>
    <t>Median</t>
  </si>
  <si>
    <t>25th Percentile</t>
  </si>
  <si>
    <t>75th Percentile</t>
  </si>
  <si>
    <t>90th Percentile (Top Tier PRS)</t>
  </si>
  <si>
    <t>Count</t>
  </si>
  <si>
    <t>PBSA Comparables — Operational Inventory with Pricing</t>
  </si>
  <si>
    <t>A. MUNICH — PREMIUM PBSA OPERATORS</t>
  </si>
  <si>
    <t>Operator</t>
  </si>
  <si>
    <t>Segment</t>
  </si>
  <si>
    <t>Room Type</t>
  </si>
  <si>
    <t>All-In Rent (€/mo)</t>
  </si>
  <si>
    <t>Eff. €/sqm/mo</t>
  </si>
  <si>
    <t>Includes</t>
  </si>
  <si>
    <t>Proximity to Uni</t>
  </si>
  <si>
    <t>THE FIZZ Munich</t>
  </si>
  <si>
    <t>Premium</t>
  </si>
  <si>
    <t>Single Studio</t>
  </si>
  <si>
    <t>Utils, WiFi, furniture</t>
  </si>
  <si>
    <t>10 min to LMU/TUM</t>
  </si>
  <si>
    <t>Flex Apartment</t>
  </si>
  <si>
    <t>TheBase Munich</t>
  </si>
  <si>
    <t>Ultra-Premium</t>
  </si>
  <si>
    <t>Studio</t>
  </si>
  <si>
    <t>All-in; co-living</t>
  </si>
  <si>
    <t>Central</t>
  </si>
  <si>
    <t>Revo Munich</t>
  </si>
  <si>
    <t>All-in; premium co-living</t>
  </si>
  <si>
    <t>THE HOUSE OF CO</t>
  </si>
  <si>
    <t>Co-Living Studio</t>
  </si>
  <si>
    <t>Furnished, community</t>
  </si>
  <si>
    <t>Nido Alp Studios</t>
  </si>
  <si>
    <t>Furnished, all-in</t>
  </si>
  <si>
    <t>Near TUM</t>
  </si>
  <si>
    <t>Deutsche Burse</t>
  </si>
  <si>
    <t>Mid-Range</t>
  </si>
  <si>
    <t>Furnished</t>
  </si>
  <si>
    <t>Schwabing</t>
  </si>
  <si>
    <t>Campus Viva Munich V</t>
  </si>
  <si>
    <t>Net + utils</t>
  </si>
  <si>
    <t>South Munich</t>
  </si>
  <si>
    <t>Studio M2</t>
  </si>
  <si>
    <t>Budget-Premium</t>
  </si>
  <si>
    <t>Kaltmiete + NK</t>
  </si>
  <si>
    <t>Near universities</t>
  </si>
  <si>
    <t>YOUNIQ Munich</t>
  </si>
  <si>
    <t>All-in</t>
  </si>
  <si>
    <t>Uni Apart Munich</t>
  </si>
  <si>
    <t>Furnished, some utils</t>
  </si>
  <si>
    <t>Multiple locations</t>
  </si>
  <si>
    <t>Staytoo Munich</t>
  </si>
  <si>
    <t>The Stay Residence</t>
  </si>
  <si>
    <t>Near centre</t>
  </si>
  <si>
    <t>SUMMARY</t>
  </si>
  <si>
    <t>Avg Premium PBSA (€/mo)</t>
  </si>
  <si>
    <t>Avg Ultra-Premium PBSA (€/mo)</t>
  </si>
  <si>
    <t>Avg Mid-Range PBSA (€/mo)</t>
  </si>
  <si>
    <t>Avg Budget-Premium PBSA (€/mo)</t>
  </si>
  <si>
    <t>Overall Avg PBSA (€/mo)</t>
  </si>
  <si>
    <t>B. STUDENTENWERK / PUBLIC HOUSING BENCHMARKS</t>
  </si>
  <si>
    <t>Avg Low (€/mo)</t>
  </si>
  <si>
    <t>Avg High (€/mo)</t>
  </si>
  <si>
    <t>Midpoint (€/mo)</t>
  </si>
  <si>
    <t>Est. Size (sqm)</t>
  </si>
  <si>
    <t>Studierendenwerk München</t>
  </si>
  <si>
    <t>OeAD / Wihast / Heim operators</t>
  </si>
  <si>
    <t>Studierendenwerk Niederbayern</t>
  </si>
  <si>
    <t>Premium PBSA Pricing Model — Anchored to PRS</t>
  </si>
  <si>
    <t>Compares Top-Tier PBSA vs PRS vs Studentenwerk vs Average PBSA</t>
  </si>
  <si>
    <t>A. DERIVED MULTIPLIERS FROM MUNICH BENCHMARK</t>
  </si>
  <si>
    <t>Comparison</t>
  </si>
  <si>
    <t>PBSA Rent (€/mo)</t>
  </si>
  <si>
    <t>PRS Equiv (€/mo)</t>
  </si>
  <si>
    <t>Premium Multiplier</t>
  </si>
  <si>
    <t>Premium %</t>
  </si>
  <si>
    <t>Ultra-Premium PBSA vs PRS (Munich)</t>
  </si>
  <si>
    <t>Premium PBSA vs PRS (Munich)</t>
  </si>
  <si>
    <t>Mid-Range PBSA vs PRS (Munich)</t>
  </si>
  <si>
    <t>PBSA vs Studentenwerk (Munich)</t>
  </si>
  <si>
    <t>B. MODELLED PREMIUM PBSA PRICING BY CITY &amp; UNIT TYPE</t>
  </si>
  <si>
    <t>Applies Munich-derived multiplier to local PRS rents</t>
  </si>
  <si>
    <t>Local PRS €/sqm</t>
  </si>
  <si>
    <t>Modelled €/sqm/mo</t>
  </si>
  <si>
    <t>Modelled All-In (€/mo)</t>
  </si>
  <si>
    <t>vs Studentenwerk Premium</t>
  </si>
  <si>
    <t>vs Avg PBSA Premium</t>
  </si>
  <si>
    <t>C. SIDE-BY-SIDE: PREMIUM PBSA vs PRS vs STUDENTENWERK vs AVG PBSA</t>
  </si>
  <si>
    <t>Studentenwerk (€/mo)</t>
  </si>
  <si>
    <t>Avg PRS Studio 22sqm (€/mo)</t>
  </si>
  <si>
    <t>Avg PBSA (€/mo)</t>
  </si>
  <si>
    <t>Premium PBSA (€/mo)</t>
  </si>
  <si>
    <t>Top-Tier / Ultra (€/mo)</t>
  </si>
  <si>
    <t>Premium / Studentenwerk</t>
  </si>
  <si>
    <t>Premium / PRS</t>
  </si>
  <si>
    <t>Premium / Avg PBSA</t>
  </si>
  <si>
    <t>Market Attractiveness Scorecard — Multi-Factor Weighted Model</t>
  </si>
  <si>
    <t>Scores 1–10 per factor; weighted composite determines market ranking</t>
  </si>
  <si>
    <t>A. FACTOR WEIGHTS (User-Adjustable)</t>
  </si>
  <si>
    <t>Factor</t>
  </si>
  <si>
    <t>Weight</t>
  </si>
  <si>
    <t>Rationale</t>
  </si>
  <si>
    <t>University Prestige</t>
  </si>
  <si>
    <t>Higher prestige = stronger demand from intl students willing to pay premium</t>
  </si>
  <si>
    <t>Larger pool = deeper demand base</t>
  </si>
  <si>
    <t>Intl students are core PBSA demand driver; higher willingness to pay</t>
  </si>
  <si>
    <t>Provision Rate (inverse)</t>
  </si>
  <si>
    <t>Lower provision = more unmet demand = pricing power</t>
  </si>
  <si>
    <t>PRS Rent Level (€/sqm)</t>
  </si>
  <si>
    <t>Higher PRS = larger absolute premium capture for PBSA</t>
  </si>
  <si>
    <t>City Income / GDP</t>
  </si>
  <si>
    <t>Wealthier city = higher affordability ceiling</t>
  </si>
  <si>
    <t>Faster growth = momentum in market</t>
  </si>
  <si>
    <t>Occupancy Rate</t>
  </si>
  <si>
    <t>Higher occupancy = demand exceeds supply</t>
  </si>
  <si>
    <t>Distance to University (avg)</t>
  </si>
  <si>
    <t>Proximity premium for PBSA siting</t>
  </si>
  <si>
    <t>Demographic Diversity Index</t>
  </si>
  <si>
    <t>More diverse origins = more PBSA-oriented demand</t>
  </si>
  <si>
    <t>Total Weight</t>
  </si>
  <si>
    <t>B. RAW SCORES (1–10 Scale) &amp; WEIGHTED COMPOSITE</t>
  </si>
  <si>
    <t>Munich Score</t>
  </si>
  <si>
    <t>Munich Wtd</t>
  </si>
  <si>
    <t>Innsbruck Score</t>
  </si>
  <si>
    <t>Innsbruck Wtd</t>
  </si>
  <si>
    <t>Passau Score</t>
  </si>
  <si>
    <t>Passau Wtd</t>
  </si>
  <si>
    <t>WEIGHTED COMPOSITE SCORE</t>
  </si>
  <si>
    <t>RANK</t>
  </si>
  <si>
    <t>C. SCORE DERIVATION METHODOLOGY</t>
  </si>
  <si>
    <t>University Prestige: Based on QS/THE rankings. TUM (#28) + LMU (#59) = 10; UniIBK (#266) = 7; UniPassau (601-650) = 5</t>
  </si>
  <si>
    <t>Student Population: Munich 130k = 10; Innsbruck 35k = 6; Passau 10.6k = 3 (log-scaled)</t>
  </si>
  <si>
    <t>International %: Innsbruck 43.6% = 10; Munich 28.9% = 8; Passau 18.1% = 5</t>
  </si>
  <si>
    <t>Provision Rate (inverse): Lower = better. Passau ~11.4% = 8; Munich ~9.2% = 7; Innsbruck ~8.6% = 7</t>
  </si>
  <si>
    <t>PRS Rent: Munich €23/sqm = 10; Innsbruck €21 = 9; Passau €10 = 4</t>
  </si>
  <si>
    <t>Income/GDP: Munich €79k GDP/cap = 10; Innsbruck €55k = 7; Passau €35k = 5</t>
  </si>
  <si>
    <t>Distance to Uni: Passau compact campus = 9; Innsbruck concentrated = 8; Munich dispersed = 7</t>
  </si>
  <si>
    <t>Diversity Index: Innsbruck 50% intl from diverse origins = 9; Munich 29% but very diverse = 8; Passau 18% = 5</t>
  </si>
  <si>
    <t>Sensitivity &amp; Scenario Analysis</t>
  </si>
  <si>
    <t>A. ALL-IN RENT BY MULTIPLIER — Classic Studio (22 sqm)</t>
  </si>
  <si>
    <t>PRS €/sqm</t>
  </si>
  <si>
    <t>1.50x</t>
  </si>
  <si>
    <t>1.80x</t>
  </si>
  <si>
    <t>2.00x</t>
  </si>
  <si>
    <t>2.29x</t>
  </si>
  <si>
    <t>2.50x</t>
  </si>
  <si>
    <t>2.80x</t>
  </si>
  <si>
    <t>3.00x</t>
  </si>
  <si>
    <t>B. SCENARIO ANALYSIS — Premium PBSA Monthly Rent (Classic Studio 22sqm)</t>
  </si>
  <si>
    <t>Scenario</t>
  </si>
  <si>
    <t>Assumptions</t>
  </si>
  <si>
    <t>Conservative (1.5x PRS)</t>
  </si>
  <si>
    <t>Minimal premium; bare furnishing; limited amenities</t>
  </si>
  <si>
    <t>Base Case (2.0x PRS)</t>
  </si>
  <si>
    <t>Standard PBSA; furnished; communal areas; utils included</t>
  </si>
  <si>
    <t>Munich Benchmark (2.29x PRS)</t>
  </si>
  <si>
    <t>Applies proven Munich premium ratio to local PRS</t>
  </si>
  <si>
    <t>Aggressive (2.8x PRS)</t>
  </si>
  <si>
    <t>Ultra-premium; THE FIZZ / Revo tier; full-service co-living</t>
  </si>
  <si>
    <t>Ultra-Premium (3.0x PRS)</t>
  </si>
  <si>
    <t>Top-of-market; concierge, gym, rooftop; luxury finishes</t>
  </si>
  <si>
    <t>C. AFFORDABILITY CHECK — PBSA Rent as % of Student Budget</t>
  </si>
  <si>
    <t>Est. Monthly Student Budget</t>
  </si>
  <si>
    <t>Studentenwerk Rent / Budget</t>
  </si>
  <si>
    <t>Avg PBSA Rent / Budget</t>
  </si>
  <si>
    <t>Premium PBSA (2.29x) / Budget</t>
  </si>
  <si>
    <t>Intl Student Budget (est. higher)</t>
  </si>
  <si>
    <t>Premium PBSA / Intl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</si>
</sst>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x"/>
  </numFmts>
  <fonts count="14" x14ac:knownFonts="1">
    <font>
      <sz val="11"/>
      <color theme="1"/>
      <name val="Calibri"/>
      <family val="2"/>
      <charset val="1"/>
    </font>
    <font>
      <b/>
      <sz val="14"/>
      <color rgb="FF1B2A4A"/>
      <name val="Arial"/>
      <family val="2"/>
    </font>
    <font>
      <i/>
      <sz val="10"/>
      <color rgb="FF666666"/>
      <name val="Arial"/>
      <family val="2"/>
    </font>
    <font>
      <b/>
      <sz val="11"/>
      <color rgb="FF1B2A4A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88888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i/>
      <sz val="9"/>
      <color rgb="FF888888"/>
      <name val="Arial"/>
      <family val="2"/>
    </font>
    <font>
      <sz val="9"/>
      <color rgb="FF666666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FFEBEE"/>
        <bgColor rgb="FFFFFDE7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D6E4F0"/>
        <b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3" fontId="6" fillId="0" borderId="0" xfId="0" applyNumberFormat="1" applyFont="1"/>
    <xf numFmtId="0" fontId="7" fillId="0" borderId="0" xfId="0" applyFont="1"/>
    <xf numFmtId="0" fontId="6" fillId="0" borderId="0" xfId="0" applyFont="1"/>
    <xf numFmtId="164" fontId="8" fillId="0" borderId="0" xfId="0" applyNumberFormat="1" applyFont="1"/>
    <xf numFmtId="164" fontId="6" fillId="0" borderId="0" xfId="0" applyNumberFormat="1" applyFont="1"/>
    <xf numFmtId="4" fontId="6" fillId="0" borderId="0" xfId="0" applyNumberFormat="1" applyFont="1"/>
    <xf numFmtId="4" fontId="8" fillId="0" borderId="0" xfId="0" applyNumberFormat="1" applyFont="1"/>
    <xf numFmtId="3" fontId="8" fillId="0" borderId="0" xfId="0" applyNumberFormat="1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9" fillId="7" borderId="0" xfId="0" applyFont="1" applyFill="1"/>
    <xf numFmtId="3" fontId="10" fillId="0" borderId="0" xfId="0" applyNumberFormat="1" applyFont="1"/>
    <xf numFmtId="165" fontId="8" fillId="0" borderId="0" xfId="0" applyNumberFormat="1" applyFont="1"/>
    <xf numFmtId="0" fontId="11" fillId="0" borderId="0" xfId="0" applyFont="1"/>
    <xf numFmtId="4" fontId="10" fillId="0" borderId="0" xfId="0" applyNumberFormat="1" applyFont="1"/>
    <xf numFmtId="165" fontId="10" fillId="0" borderId="0" xfId="0" applyNumberFormat="1" applyFont="1"/>
    <xf numFmtId="164" fontId="6" fillId="3" borderId="0" xfId="0" applyNumberFormat="1" applyFont="1" applyFill="1"/>
    <xf numFmtId="0" fontId="12" fillId="0" borderId="0" xfId="0" applyFont="1"/>
    <xf numFmtId="0" fontId="9" fillId="0" borderId="0" xfId="0" applyFont="1"/>
    <xf numFmtId="164" fontId="10" fillId="0" borderId="0" xfId="0" applyNumberFormat="1" applyFont="1"/>
    <xf numFmtId="0" fontId="6" fillId="3" borderId="0" xfId="0" applyFont="1" applyFill="1"/>
    <xf numFmtId="2" fontId="8" fillId="0" borderId="0" xfId="0" applyNumberFormat="1" applyFont="1"/>
    <xf numFmtId="0" fontId="13" fillId="7" borderId="0" xfId="0" applyFont="1" applyFill="1"/>
    <xf numFmtId="2" fontId="13" fillId="7" borderId="0" xfId="0" applyNumberFormat="1" applyFont="1" applyFill="1"/>
    <xf numFmtId="0" fontId="13" fillId="0" borderId="0" xfId="0" applyFont="1"/>
    <xf numFmtId="0" fontId="8" fillId="0" borderId="0" xfId="0" applyFont="1"/>
    <xf numFmtId="0" fontId="4" fillId="3" borderId="0" xfId="0" applyFont="1" applyFill="1" applyAlignment="1">
      <alignment horizontal="center" vertical="center" wrapText="1"/>
    </xf>
    <xf numFmtId="3" fontId="8" fillId="3" borderId="0" xfId="0" applyNumberFormat="1" applyFont="1" applyFill="1"/>
    <xf numFmtId="3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C27B0"/>
      <rgbColor rgb="FFFFFDE7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800"/>
      <rgbColor rgb="FFFF5722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31"/>
  <sheetViews>
    <sheetView zoomScaleNormal="100" workbookViewId="0">
      <selection sqref="A1:H1"/>
    </sheetView>
  </sheetViews>
  <sheetFormatPr baseColWidth="10" defaultColWidth="8.6640625" defaultRowHeight="15" customHeight="1" x14ac:dyDescent="0.2"/>
  <cols>
    <col min="1" max="1" width="38" customWidth="1"/>
    <col min="2" max="5" width="18" customWidth="1"/>
    <col min="6" max="6" width="14" customWidth="1"/>
    <col min="7" max="7" width="40" customWidth="1"/>
  </cols>
  <sheetData>
    <row r="1" spans="1:8" ht="1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2" t="s">
        <v>1</v>
      </c>
    </row>
    <row r="4" spans="1:8" x14ac:dyDescent="0.2">
      <c r="A4" s="3" t="s">
        <v>2</v>
      </c>
    </row>
    <row r="5" spans="1:8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8" x14ac:dyDescent="0.2">
      <c r="A6" s="5" t="s">
        <v>9</v>
      </c>
      <c r="B6" s="6">
        <v>130000</v>
      </c>
      <c r="C6" s="6">
        <v>35000</v>
      </c>
      <c r="D6" s="6">
        <v>10568</v>
      </c>
      <c r="E6" s="5" t="s">
        <v>10</v>
      </c>
      <c r="F6" s="7" t="s">
        <v>11</v>
      </c>
    </row>
    <row r="7" spans="1:8" x14ac:dyDescent="0.2">
      <c r="A7" s="5" t="s">
        <v>12</v>
      </c>
      <c r="B7" s="8">
        <v>16</v>
      </c>
      <c r="C7" s="8">
        <v>5</v>
      </c>
      <c r="D7" s="8">
        <v>1</v>
      </c>
      <c r="E7" s="5" t="s">
        <v>13</v>
      </c>
      <c r="F7" s="7" t="s">
        <v>14</v>
      </c>
    </row>
    <row r="8" spans="1:8" x14ac:dyDescent="0.2">
      <c r="A8" s="5" t="s">
        <v>15</v>
      </c>
      <c r="B8" s="6">
        <v>37627</v>
      </c>
      <c r="C8" s="6">
        <v>15272</v>
      </c>
      <c r="D8" s="6">
        <v>1916</v>
      </c>
      <c r="E8" s="5" t="s">
        <v>10</v>
      </c>
      <c r="F8" s="7" t="s">
        <v>16</v>
      </c>
    </row>
    <row r="9" spans="1:8" x14ac:dyDescent="0.2">
      <c r="A9" s="5" t="s">
        <v>17</v>
      </c>
      <c r="B9" s="9">
        <f>B8/B6</f>
        <v>0.28943846153846153</v>
      </c>
      <c r="C9" s="9">
        <f>C8/C6</f>
        <v>0.43634285714285714</v>
      </c>
      <c r="D9" s="9">
        <f>D8/D6</f>
        <v>0.18130204390613172</v>
      </c>
      <c r="E9" s="5" t="s">
        <v>18</v>
      </c>
      <c r="F9" s="7" t="s">
        <v>19</v>
      </c>
    </row>
    <row r="10" spans="1:8" x14ac:dyDescent="0.2">
      <c r="A10" s="5" t="s">
        <v>20</v>
      </c>
      <c r="B10" s="9">
        <f>B11/B6</f>
        <v>9.2307692307692313E-2</v>
      </c>
      <c r="C10" s="9">
        <f>C11/C6</f>
        <v>8.5714285714285715E-2</v>
      </c>
      <c r="D10" s="9">
        <f>D11/D6</f>
        <v>0.11355034065102196</v>
      </c>
      <c r="E10" s="5" t="s">
        <v>18</v>
      </c>
      <c r="F10" s="7" t="s">
        <v>19</v>
      </c>
    </row>
    <row r="11" spans="1:8" x14ac:dyDescent="0.2">
      <c r="A11" s="5" t="s">
        <v>21</v>
      </c>
      <c r="B11" s="6">
        <v>12000</v>
      </c>
      <c r="C11" s="6">
        <v>3000</v>
      </c>
      <c r="D11" s="6">
        <v>1200</v>
      </c>
      <c r="E11" s="5" t="s">
        <v>22</v>
      </c>
      <c r="F11" s="7" t="s">
        <v>23</v>
      </c>
    </row>
    <row r="12" spans="1:8" x14ac:dyDescent="0.2">
      <c r="A12" s="5" t="s">
        <v>24</v>
      </c>
      <c r="B12" s="6">
        <v>1512000</v>
      </c>
      <c r="C12" s="6">
        <v>131000</v>
      </c>
      <c r="D12" s="6">
        <v>54000</v>
      </c>
      <c r="E12" s="5" t="s">
        <v>25</v>
      </c>
      <c r="F12" s="7" t="s">
        <v>26</v>
      </c>
    </row>
    <row r="13" spans="1:8" x14ac:dyDescent="0.2">
      <c r="A13" s="5" t="s">
        <v>27</v>
      </c>
      <c r="B13" s="6">
        <v>52000</v>
      </c>
      <c r="C13" s="6">
        <v>38000</v>
      </c>
      <c r="D13" s="6">
        <v>32000</v>
      </c>
      <c r="E13" s="5" t="s">
        <v>28</v>
      </c>
      <c r="F13" s="7" t="s">
        <v>29</v>
      </c>
    </row>
    <row r="14" spans="1:8" x14ac:dyDescent="0.2">
      <c r="A14" s="5" t="s">
        <v>30</v>
      </c>
      <c r="B14" s="6">
        <v>79000</v>
      </c>
      <c r="C14" s="6">
        <v>55000</v>
      </c>
      <c r="D14" s="6">
        <v>35000</v>
      </c>
      <c r="E14" s="5" t="s">
        <v>28</v>
      </c>
      <c r="F14" s="7" t="s">
        <v>31</v>
      </c>
    </row>
    <row r="15" spans="1:8" x14ac:dyDescent="0.2">
      <c r="A15" s="5" t="s">
        <v>32</v>
      </c>
      <c r="B15" s="8">
        <v>23</v>
      </c>
      <c r="C15" s="8">
        <v>21</v>
      </c>
      <c r="D15" s="8">
        <v>10</v>
      </c>
      <c r="E15" s="5" t="s">
        <v>33</v>
      </c>
      <c r="F15" s="7" t="s">
        <v>34</v>
      </c>
    </row>
    <row r="16" spans="1:8" x14ac:dyDescent="0.2">
      <c r="A16" s="5" t="s">
        <v>35</v>
      </c>
      <c r="B16" s="10">
        <v>3.4000000000000002E-2</v>
      </c>
      <c r="C16" s="10">
        <v>0.04</v>
      </c>
      <c r="D16" s="10">
        <v>0.03</v>
      </c>
      <c r="E16" s="5" t="s">
        <v>18</v>
      </c>
      <c r="F16" s="7" t="s">
        <v>36</v>
      </c>
    </row>
    <row r="17" spans="1:7" x14ac:dyDescent="0.2">
      <c r="A17" s="5" t="s">
        <v>37</v>
      </c>
      <c r="B17" s="6">
        <v>1374</v>
      </c>
      <c r="C17" s="6">
        <v>520</v>
      </c>
      <c r="D17" s="6">
        <v>350</v>
      </c>
      <c r="E17" s="5" t="s">
        <v>38</v>
      </c>
      <c r="F17" s="7" t="s">
        <v>36</v>
      </c>
    </row>
    <row r="18" spans="1:7" x14ac:dyDescent="0.2">
      <c r="A18" s="5" t="s">
        <v>39</v>
      </c>
      <c r="B18" s="6">
        <v>1919</v>
      </c>
      <c r="C18" s="6">
        <v>700</v>
      </c>
      <c r="D18" s="6">
        <v>550</v>
      </c>
      <c r="E18" s="5" t="s">
        <v>38</v>
      </c>
      <c r="F18" s="7" t="s">
        <v>40</v>
      </c>
    </row>
    <row r="19" spans="1:7" x14ac:dyDescent="0.2">
      <c r="A19" s="5" t="s">
        <v>41</v>
      </c>
      <c r="B19" s="6">
        <v>401</v>
      </c>
      <c r="C19" s="6">
        <v>350</v>
      </c>
      <c r="D19" s="6">
        <v>280</v>
      </c>
      <c r="E19" s="5" t="s">
        <v>38</v>
      </c>
      <c r="F19" s="7" t="s">
        <v>42</v>
      </c>
    </row>
    <row r="20" spans="1:7" x14ac:dyDescent="0.2">
      <c r="A20" s="5" t="s">
        <v>43</v>
      </c>
      <c r="B20" s="10">
        <v>0.96</v>
      </c>
      <c r="C20" s="10">
        <v>0.93</v>
      </c>
      <c r="D20" s="10">
        <v>0.95</v>
      </c>
      <c r="E20" s="5" t="s">
        <v>18</v>
      </c>
      <c r="F20" s="7" t="s">
        <v>36</v>
      </c>
    </row>
    <row r="21" spans="1:7" x14ac:dyDescent="0.2">
      <c r="A21" s="5" t="s">
        <v>44</v>
      </c>
      <c r="B21" s="10">
        <v>4.8000000000000001E-2</v>
      </c>
      <c r="C21" s="10">
        <v>0.05</v>
      </c>
      <c r="D21" s="10">
        <v>3.5000000000000003E-2</v>
      </c>
      <c r="E21" s="5" t="s">
        <v>18</v>
      </c>
      <c r="F21" s="7" t="s">
        <v>36</v>
      </c>
    </row>
    <row r="23" spans="1:7" x14ac:dyDescent="0.2">
      <c r="A23" s="3" t="s">
        <v>45</v>
      </c>
    </row>
    <row r="24" spans="1:7" ht="28" x14ac:dyDescent="0.2">
      <c r="A24" s="4" t="s">
        <v>46</v>
      </c>
      <c r="B24" s="4" t="s">
        <v>47</v>
      </c>
      <c r="C24" s="4" t="s">
        <v>48</v>
      </c>
      <c r="D24" s="4" t="s">
        <v>49</v>
      </c>
      <c r="E24" s="4" t="s">
        <v>50</v>
      </c>
      <c r="F24" s="4" t="s">
        <v>51</v>
      </c>
      <c r="G24" s="4" t="s">
        <v>52</v>
      </c>
    </row>
    <row r="25" spans="1:7" x14ac:dyDescent="0.2">
      <c r="A25" s="5" t="s">
        <v>53</v>
      </c>
      <c r="B25" s="5" t="s">
        <v>4</v>
      </c>
      <c r="C25" s="8">
        <v>59</v>
      </c>
      <c r="D25" s="8">
        <v>38</v>
      </c>
      <c r="E25" s="8">
        <v>9</v>
      </c>
      <c r="F25" s="8">
        <v>11658</v>
      </c>
      <c r="G25" s="8" t="s">
        <v>54</v>
      </c>
    </row>
    <row r="26" spans="1:7" x14ac:dyDescent="0.2">
      <c r="A26" s="5" t="s">
        <v>55</v>
      </c>
      <c r="B26" s="5" t="s">
        <v>4</v>
      </c>
      <c r="C26" s="8">
        <v>28</v>
      </c>
      <c r="D26" s="8">
        <v>30</v>
      </c>
      <c r="E26" s="8">
        <v>10</v>
      </c>
      <c r="F26" s="8">
        <v>23379</v>
      </c>
      <c r="G26" s="8" t="s">
        <v>56</v>
      </c>
    </row>
    <row r="27" spans="1:7" x14ac:dyDescent="0.2">
      <c r="A27" s="5" t="s">
        <v>57</v>
      </c>
      <c r="B27" s="5" t="s">
        <v>4</v>
      </c>
      <c r="C27" s="8" t="s">
        <v>58</v>
      </c>
      <c r="D27" s="8" t="s">
        <v>58</v>
      </c>
      <c r="E27" s="8">
        <v>5</v>
      </c>
      <c r="F27" s="8">
        <v>2400</v>
      </c>
      <c r="G27" s="8" t="s">
        <v>59</v>
      </c>
    </row>
    <row r="28" spans="1:7" x14ac:dyDescent="0.2">
      <c r="A28" s="5" t="s">
        <v>60</v>
      </c>
      <c r="B28" s="5" t="s">
        <v>5</v>
      </c>
      <c r="C28" s="8">
        <v>266</v>
      </c>
      <c r="D28" s="8" t="s">
        <v>61</v>
      </c>
      <c r="E28" s="8">
        <v>7</v>
      </c>
      <c r="F28" s="8">
        <v>13972</v>
      </c>
      <c r="G28" s="8" t="s">
        <v>62</v>
      </c>
    </row>
    <row r="29" spans="1:7" x14ac:dyDescent="0.2">
      <c r="A29" s="5" t="s">
        <v>63</v>
      </c>
      <c r="B29" s="5" t="s">
        <v>5</v>
      </c>
      <c r="C29" s="8" t="s">
        <v>58</v>
      </c>
      <c r="D29" s="8" t="s">
        <v>58</v>
      </c>
      <c r="E29" s="8">
        <v>7</v>
      </c>
      <c r="F29" s="8">
        <v>1300</v>
      </c>
      <c r="G29" s="8" t="s">
        <v>64</v>
      </c>
    </row>
    <row r="30" spans="1:7" x14ac:dyDescent="0.2">
      <c r="A30" s="5" t="s">
        <v>65</v>
      </c>
      <c r="B30" s="5" t="s">
        <v>5</v>
      </c>
      <c r="C30" s="8" t="s">
        <v>58</v>
      </c>
      <c r="D30" s="8" t="s">
        <v>58</v>
      </c>
      <c r="E30" s="8">
        <v>5</v>
      </c>
      <c r="F30" s="8" t="s">
        <v>66</v>
      </c>
      <c r="G30" s="8" t="s">
        <v>67</v>
      </c>
    </row>
    <row r="31" spans="1:7" x14ac:dyDescent="0.2">
      <c r="A31" s="5" t="s">
        <v>68</v>
      </c>
      <c r="B31" s="5" t="s">
        <v>6</v>
      </c>
      <c r="C31" s="8" t="s">
        <v>69</v>
      </c>
      <c r="D31" s="8" t="s">
        <v>70</v>
      </c>
      <c r="E31" s="8">
        <v>5</v>
      </c>
      <c r="F31" s="8">
        <v>1916</v>
      </c>
      <c r="G31" s="8" t="s">
        <v>71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96F3"/>
  </sheetPr>
  <dimension ref="A1:H25"/>
  <sheetViews>
    <sheetView zoomScaleNormal="100" workbookViewId="0">
      <selection sqref="A1:H1"/>
    </sheetView>
  </sheetViews>
  <sheetFormatPr baseColWidth="10" defaultColWidth="8.6640625" defaultRowHeight="15" customHeight="1" x14ac:dyDescent="0.2"/>
  <cols>
    <col min="1" max="1" width="42" customWidth="1"/>
    <col min="2" max="5" width="18" customWidth="1"/>
  </cols>
  <sheetData>
    <row r="1" spans="1:8" ht="18" x14ac:dyDescent="0.2">
      <c r="A1" s="1" t="s">
        <v>72</v>
      </c>
      <c r="B1" s="1"/>
      <c r="C1" s="1"/>
      <c r="D1" s="1"/>
      <c r="E1" s="1"/>
      <c r="F1" s="1"/>
      <c r="G1" s="1"/>
      <c r="H1" s="1"/>
    </row>
    <row r="3" spans="1:8" x14ac:dyDescent="0.2">
      <c r="A3" s="3" t="s">
        <v>73</v>
      </c>
    </row>
    <row r="4" spans="1:8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8" x14ac:dyDescent="0.2">
      <c r="A5" s="5" t="s">
        <v>74</v>
      </c>
      <c r="B5" s="11">
        <v>27</v>
      </c>
      <c r="C5" s="11">
        <v>25</v>
      </c>
      <c r="D5" s="11">
        <v>12</v>
      </c>
      <c r="E5" s="5" t="s">
        <v>75</v>
      </c>
    </row>
    <row r="6" spans="1:8" x14ac:dyDescent="0.2">
      <c r="A6" s="5" t="s">
        <v>76</v>
      </c>
      <c r="B6" s="11">
        <v>18</v>
      </c>
      <c r="C6" s="11">
        <v>18</v>
      </c>
      <c r="D6" s="11">
        <v>8.5</v>
      </c>
      <c r="E6" s="5" t="s">
        <v>75</v>
      </c>
    </row>
    <row r="7" spans="1:8" x14ac:dyDescent="0.2">
      <c r="A7" s="5" t="s">
        <v>77</v>
      </c>
      <c r="B7" s="12">
        <f>AVERAGE(B5,B6)</f>
        <v>22.5</v>
      </c>
      <c r="C7" s="12">
        <f>AVERAGE(C5,C6)</f>
        <v>21.5</v>
      </c>
      <c r="D7" s="12">
        <f>AVERAGE(D5,D6)</f>
        <v>10.25</v>
      </c>
      <c r="E7" s="5" t="s">
        <v>75</v>
      </c>
    </row>
    <row r="8" spans="1:8" x14ac:dyDescent="0.2">
      <c r="A8" s="5" t="s">
        <v>78</v>
      </c>
      <c r="B8" s="11">
        <v>15</v>
      </c>
      <c r="C8" s="11">
        <v>13</v>
      </c>
      <c r="D8" s="11">
        <v>7.5</v>
      </c>
      <c r="E8" s="5" t="s">
        <v>75</v>
      </c>
    </row>
    <row r="10" spans="1:8" x14ac:dyDescent="0.2">
      <c r="A10" s="3" t="s">
        <v>79</v>
      </c>
    </row>
    <row r="11" spans="1:8" x14ac:dyDescent="0.2">
      <c r="A11" s="4" t="s">
        <v>80</v>
      </c>
      <c r="B11" s="4" t="s">
        <v>81</v>
      </c>
      <c r="C11" s="4" t="s">
        <v>82</v>
      </c>
      <c r="D11" s="4" t="s">
        <v>83</v>
      </c>
      <c r="E11" s="4" t="s">
        <v>84</v>
      </c>
    </row>
    <row r="12" spans="1:8" x14ac:dyDescent="0.2">
      <c r="A12" s="5" t="s">
        <v>85</v>
      </c>
      <c r="B12" s="8">
        <v>18</v>
      </c>
      <c r="C12" s="13">
        <f>'PRS Benchmark'!B7*B12</f>
        <v>405</v>
      </c>
      <c r="D12" s="13">
        <f>'PRS Benchmark'!C7*B12</f>
        <v>387</v>
      </c>
      <c r="E12" s="13">
        <f>'PRS Benchmark'!D7*B12</f>
        <v>184.5</v>
      </c>
    </row>
    <row r="13" spans="1:8" x14ac:dyDescent="0.2">
      <c r="A13" s="5" t="s">
        <v>86</v>
      </c>
      <c r="B13" s="8">
        <v>22</v>
      </c>
      <c r="C13" s="13">
        <f>'PRS Benchmark'!B7*B13</f>
        <v>495</v>
      </c>
      <c r="D13" s="13">
        <f>'PRS Benchmark'!C7*B13</f>
        <v>473</v>
      </c>
      <c r="E13" s="13">
        <f>'PRS Benchmark'!D7*B13</f>
        <v>225.5</v>
      </c>
    </row>
    <row r="14" spans="1:8" x14ac:dyDescent="0.2">
      <c r="A14" s="5" t="s">
        <v>87</v>
      </c>
      <c r="B14" s="8">
        <v>28</v>
      </c>
      <c r="C14" s="13">
        <f>'PRS Benchmark'!B7*B14</f>
        <v>630</v>
      </c>
      <c r="D14" s="13">
        <f>'PRS Benchmark'!C7*B14</f>
        <v>602</v>
      </c>
      <c r="E14" s="13">
        <f>'PRS Benchmark'!D7*B14</f>
        <v>287</v>
      </c>
    </row>
    <row r="15" spans="1:8" x14ac:dyDescent="0.2">
      <c r="A15" s="5" t="s">
        <v>88</v>
      </c>
      <c r="B15" s="8">
        <v>35</v>
      </c>
      <c r="C15" s="13">
        <f>'PRS Benchmark'!B7*B15</f>
        <v>787.5</v>
      </c>
      <c r="D15" s="13">
        <f>'PRS Benchmark'!C7*B15</f>
        <v>752.5</v>
      </c>
      <c r="E15" s="13">
        <f>'PRS Benchmark'!D7*B15</f>
        <v>358.75</v>
      </c>
    </row>
    <row r="16" spans="1:8" x14ac:dyDescent="0.2">
      <c r="A16" s="5" t="s">
        <v>89</v>
      </c>
      <c r="B16" s="8">
        <v>45</v>
      </c>
      <c r="C16" s="13">
        <f>'PRS Benchmark'!B7*B16</f>
        <v>1012.5</v>
      </c>
      <c r="D16" s="13">
        <f>'PRS Benchmark'!C7*B16</f>
        <v>967.5</v>
      </c>
      <c r="E16" s="13">
        <f>'PRS Benchmark'!D7*B16</f>
        <v>461.25</v>
      </c>
    </row>
    <row r="18" spans="1:4" x14ac:dyDescent="0.2">
      <c r="A18" s="3" t="s">
        <v>90</v>
      </c>
    </row>
    <row r="19" spans="1:4" x14ac:dyDescent="0.2">
      <c r="A19" s="4" t="s">
        <v>91</v>
      </c>
      <c r="B19" s="4" t="s">
        <v>92</v>
      </c>
      <c r="C19" s="4" t="s">
        <v>93</v>
      </c>
      <c r="D19" s="4" t="s">
        <v>94</v>
      </c>
    </row>
    <row r="20" spans="1:4" x14ac:dyDescent="0.2">
      <c r="A20" s="5" t="s">
        <v>95</v>
      </c>
      <c r="B20" s="6">
        <v>1381</v>
      </c>
      <c r="C20" s="6">
        <v>52</v>
      </c>
      <c r="D20" s="11">
        <v>29.5</v>
      </c>
    </row>
    <row r="21" spans="1:4" x14ac:dyDescent="0.2">
      <c r="A21" s="5" t="s">
        <v>96</v>
      </c>
      <c r="B21" s="6">
        <v>1380</v>
      </c>
      <c r="C21" s="6">
        <v>49</v>
      </c>
      <c r="D21" s="11">
        <v>27.5</v>
      </c>
    </row>
    <row r="22" spans="1:4" x14ac:dyDescent="0.2">
      <c r="A22" s="5" t="s">
        <v>97</v>
      </c>
      <c r="B22" s="6">
        <v>900</v>
      </c>
      <c r="C22" s="6">
        <v>32</v>
      </c>
      <c r="D22" s="11">
        <v>23.1</v>
      </c>
    </row>
    <row r="23" spans="1:4" x14ac:dyDescent="0.2">
      <c r="A23" s="5" t="s">
        <v>98</v>
      </c>
      <c r="B23" s="6">
        <v>1663</v>
      </c>
      <c r="C23" s="6">
        <v>70</v>
      </c>
      <c r="D23" s="11">
        <v>32.799999999999997</v>
      </c>
    </row>
    <row r="24" spans="1:4" x14ac:dyDescent="0.2">
      <c r="A24" s="5" t="s">
        <v>99</v>
      </c>
      <c r="B24" s="6">
        <v>2299</v>
      </c>
      <c r="C24" s="6">
        <v>99</v>
      </c>
      <c r="D24" s="11">
        <v>42.1</v>
      </c>
    </row>
    <row r="25" spans="1:4" x14ac:dyDescent="0.2">
      <c r="A25" s="5" t="s">
        <v>100</v>
      </c>
      <c r="B25" s="6">
        <v>170</v>
      </c>
      <c r="C25" s="6">
        <v>163</v>
      </c>
      <c r="D25" s="11">
        <v>163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J30"/>
  <sheetViews>
    <sheetView tabSelected="1" zoomScaleNormal="100" workbookViewId="0">
      <selection sqref="A1:J1"/>
    </sheetView>
  </sheetViews>
  <sheetFormatPr baseColWidth="10" defaultColWidth="8.6640625" defaultRowHeight="15" customHeight="1" x14ac:dyDescent="0.2"/>
  <cols>
    <col min="1" max="1" width="30" customWidth="1"/>
    <col min="2" max="6" width="16" customWidth="1"/>
    <col min="7" max="7" width="22" customWidth="1"/>
    <col min="8" max="8" width="20" customWidth="1"/>
  </cols>
  <sheetData>
    <row r="1" spans="1:10" ht="18" x14ac:dyDescent="0.2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">
      <c r="A3" s="3" t="s">
        <v>102</v>
      </c>
    </row>
    <row r="4" spans="1:10" x14ac:dyDescent="0.2">
      <c r="A4" s="4" t="s">
        <v>103</v>
      </c>
      <c r="B4" s="4" t="s">
        <v>104</v>
      </c>
      <c r="C4" s="4" t="s">
        <v>105</v>
      </c>
      <c r="D4" s="4" t="s">
        <v>81</v>
      </c>
      <c r="E4" s="4" t="s">
        <v>106</v>
      </c>
      <c r="F4" s="4" t="s">
        <v>107</v>
      </c>
      <c r="G4" s="4" t="s">
        <v>108</v>
      </c>
      <c r="H4" s="4" t="s">
        <v>109</v>
      </c>
    </row>
    <row r="5" spans="1:10" x14ac:dyDescent="0.2">
      <c r="A5" s="5" t="s">
        <v>110</v>
      </c>
      <c r="B5" s="14" t="s">
        <v>111</v>
      </c>
      <c r="C5" s="5" t="s">
        <v>112</v>
      </c>
      <c r="D5" s="8">
        <v>22</v>
      </c>
      <c r="E5" s="6">
        <v>1424</v>
      </c>
      <c r="F5" s="12">
        <f t="shared" ref="F5:F17" si="0">E5/D5</f>
        <v>64.727272727272734</v>
      </c>
      <c r="G5" s="5" t="s">
        <v>113</v>
      </c>
      <c r="H5" s="5" t="s">
        <v>114</v>
      </c>
    </row>
    <row r="6" spans="1:10" x14ac:dyDescent="0.2">
      <c r="A6" s="5" t="s">
        <v>110</v>
      </c>
      <c r="B6" s="14" t="s">
        <v>111</v>
      </c>
      <c r="C6" s="5" t="s">
        <v>115</v>
      </c>
      <c r="D6" s="8">
        <v>40</v>
      </c>
      <c r="E6" s="6">
        <v>1919</v>
      </c>
      <c r="F6" s="12">
        <f t="shared" si="0"/>
        <v>47.975000000000001</v>
      </c>
      <c r="G6" s="5" t="s">
        <v>113</v>
      </c>
      <c r="H6" s="5" t="s">
        <v>114</v>
      </c>
    </row>
    <row r="7" spans="1:10" x14ac:dyDescent="0.2">
      <c r="A7" s="5" t="s">
        <v>116</v>
      </c>
      <c r="B7" s="15" t="s">
        <v>117</v>
      </c>
      <c r="C7" s="5" t="s">
        <v>118</v>
      </c>
      <c r="D7" s="8">
        <v>25</v>
      </c>
      <c r="E7" s="6">
        <v>1299</v>
      </c>
      <c r="F7" s="12">
        <f t="shared" si="0"/>
        <v>51.96</v>
      </c>
      <c r="G7" s="5" t="s">
        <v>119</v>
      </c>
      <c r="H7" s="5" t="s">
        <v>120</v>
      </c>
    </row>
    <row r="8" spans="1:10" x14ac:dyDescent="0.2">
      <c r="A8" s="5" t="s">
        <v>121</v>
      </c>
      <c r="B8" s="15" t="s">
        <v>117</v>
      </c>
      <c r="C8" s="5" t="s">
        <v>118</v>
      </c>
      <c r="D8" s="8">
        <v>28</v>
      </c>
      <c r="E8" s="6">
        <v>1800</v>
      </c>
      <c r="F8" s="12">
        <f t="shared" si="0"/>
        <v>64.285714285714292</v>
      </c>
      <c r="G8" s="5" t="s">
        <v>122</v>
      </c>
      <c r="H8" s="5" t="s">
        <v>120</v>
      </c>
    </row>
    <row r="9" spans="1:10" x14ac:dyDescent="0.2">
      <c r="A9" s="5" t="s">
        <v>123</v>
      </c>
      <c r="B9" s="14" t="s">
        <v>111</v>
      </c>
      <c r="C9" s="5" t="s">
        <v>124</v>
      </c>
      <c r="D9" s="8">
        <v>20</v>
      </c>
      <c r="E9" s="6">
        <v>900</v>
      </c>
      <c r="F9" s="12">
        <f t="shared" si="0"/>
        <v>45</v>
      </c>
      <c r="G9" s="5" t="s">
        <v>125</v>
      </c>
      <c r="H9" s="5" t="s">
        <v>120</v>
      </c>
    </row>
    <row r="10" spans="1:10" x14ac:dyDescent="0.2">
      <c r="A10" s="5" t="s">
        <v>126</v>
      </c>
      <c r="B10" s="14" t="s">
        <v>111</v>
      </c>
      <c r="C10" s="5" t="s">
        <v>118</v>
      </c>
      <c r="D10" s="8">
        <v>22</v>
      </c>
      <c r="E10" s="6">
        <v>899</v>
      </c>
      <c r="F10" s="12">
        <f t="shared" si="0"/>
        <v>40.863636363636367</v>
      </c>
      <c r="G10" s="5" t="s">
        <v>127</v>
      </c>
      <c r="H10" s="5" t="s">
        <v>128</v>
      </c>
    </row>
    <row r="11" spans="1:10" x14ac:dyDescent="0.2">
      <c r="A11" s="5" t="s">
        <v>129</v>
      </c>
      <c r="B11" s="16" t="s">
        <v>130</v>
      </c>
      <c r="C11" s="5" t="s">
        <v>118</v>
      </c>
      <c r="D11" s="8">
        <v>20</v>
      </c>
      <c r="E11" s="6">
        <v>820</v>
      </c>
      <c r="F11" s="12">
        <f t="shared" si="0"/>
        <v>41</v>
      </c>
      <c r="G11" s="5" t="s">
        <v>131</v>
      </c>
      <c r="H11" s="5" t="s">
        <v>132</v>
      </c>
    </row>
    <row r="12" spans="1:10" x14ac:dyDescent="0.2">
      <c r="A12" s="5" t="s">
        <v>133</v>
      </c>
      <c r="B12" s="16" t="s">
        <v>130</v>
      </c>
      <c r="C12" s="5" t="s">
        <v>118</v>
      </c>
      <c r="D12" s="8">
        <v>22</v>
      </c>
      <c r="E12" s="6">
        <v>890</v>
      </c>
      <c r="F12" s="12">
        <f t="shared" si="0"/>
        <v>40.454545454545453</v>
      </c>
      <c r="G12" s="5" t="s">
        <v>134</v>
      </c>
      <c r="H12" s="5" t="s">
        <v>135</v>
      </c>
    </row>
    <row r="13" spans="1:10" x14ac:dyDescent="0.2">
      <c r="A13" s="5" t="s">
        <v>136</v>
      </c>
      <c r="B13" s="17" t="s">
        <v>137</v>
      </c>
      <c r="C13" s="5" t="s">
        <v>118</v>
      </c>
      <c r="D13" s="8">
        <v>21</v>
      </c>
      <c r="E13" s="6">
        <v>560</v>
      </c>
      <c r="F13" s="12">
        <f t="shared" si="0"/>
        <v>26.666666666666668</v>
      </c>
      <c r="G13" s="5" t="s">
        <v>138</v>
      </c>
      <c r="H13" s="5" t="s">
        <v>139</v>
      </c>
    </row>
    <row r="14" spans="1:10" x14ac:dyDescent="0.2">
      <c r="A14" s="5" t="s">
        <v>140</v>
      </c>
      <c r="B14" s="17" t="s">
        <v>137</v>
      </c>
      <c r="C14" s="5" t="s">
        <v>85</v>
      </c>
      <c r="D14" s="8">
        <v>22</v>
      </c>
      <c r="E14" s="6">
        <v>704</v>
      </c>
      <c r="F14" s="12">
        <f t="shared" si="0"/>
        <v>32</v>
      </c>
      <c r="G14" s="5" t="s">
        <v>141</v>
      </c>
      <c r="H14" s="5" t="s">
        <v>139</v>
      </c>
    </row>
    <row r="15" spans="1:10" x14ac:dyDescent="0.2">
      <c r="A15" s="5" t="s">
        <v>142</v>
      </c>
      <c r="B15" s="16" t="s">
        <v>130</v>
      </c>
      <c r="C15" s="5" t="s">
        <v>118</v>
      </c>
      <c r="D15" s="8">
        <v>25</v>
      </c>
      <c r="E15" s="6">
        <v>750</v>
      </c>
      <c r="F15" s="12">
        <f t="shared" si="0"/>
        <v>30</v>
      </c>
      <c r="G15" s="5" t="s">
        <v>143</v>
      </c>
      <c r="H15" s="5" t="s">
        <v>144</v>
      </c>
    </row>
    <row r="16" spans="1:10" x14ac:dyDescent="0.2">
      <c r="A16" s="5" t="s">
        <v>145</v>
      </c>
      <c r="B16" s="16" t="s">
        <v>130</v>
      </c>
      <c r="C16" s="5" t="s">
        <v>118</v>
      </c>
      <c r="D16" s="8">
        <v>22</v>
      </c>
      <c r="E16" s="6">
        <v>925</v>
      </c>
      <c r="F16" s="12">
        <f t="shared" si="0"/>
        <v>42.045454545454547</v>
      </c>
      <c r="G16" s="5" t="s">
        <v>141</v>
      </c>
      <c r="H16" s="5" t="s">
        <v>120</v>
      </c>
    </row>
    <row r="17" spans="1:8" x14ac:dyDescent="0.2">
      <c r="A17" s="5" t="s">
        <v>146</v>
      </c>
      <c r="B17" s="16" t="s">
        <v>130</v>
      </c>
      <c r="C17" s="5" t="s">
        <v>118</v>
      </c>
      <c r="D17" s="8">
        <v>24</v>
      </c>
      <c r="E17" s="6">
        <v>800</v>
      </c>
      <c r="F17" s="12">
        <f t="shared" si="0"/>
        <v>33.333333333333336</v>
      </c>
      <c r="G17" s="5" t="s">
        <v>131</v>
      </c>
      <c r="H17" s="5" t="s">
        <v>147</v>
      </c>
    </row>
    <row r="19" spans="1:8" x14ac:dyDescent="0.2">
      <c r="A19" s="18" t="s">
        <v>148</v>
      </c>
      <c r="B19" s="18"/>
      <c r="C19" s="18"/>
      <c r="D19" s="18"/>
      <c r="E19" s="18"/>
      <c r="F19" s="18"/>
      <c r="G19" s="18"/>
      <c r="H19" s="18"/>
    </row>
    <row r="20" spans="1:8" x14ac:dyDescent="0.2">
      <c r="A20" s="5" t="s">
        <v>149</v>
      </c>
      <c r="E20" s="13">
        <f>AVERAGEIFS(E5:E17,B5:B17,"Premium")</f>
        <v>1285.5</v>
      </c>
      <c r="F20" s="12">
        <f>AVERAGEIFS(F5:F17,B5:B17,"Premium")</f>
        <v>49.641477272727279</v>
      </c>
    </row>
    <row r="21" spans="1:8" x14ac:dyDescent="0.2">
      <c r="A21" s="5" t="s">
        <v>150</v>
      </c>
      <c r="E21" s="13">
        <f>AVERAGEIFS(E5:E17,B5:B17,"Ultra-Premium")</f>
        <v>1549.5</v>
      </c>
      <c r="F21" s="12">
        <f>AVERAGEIFS(F5:F17,B5:B17,"Ultra-Premium")</f>
        <v>58.122857142857143</v>
      </c>
    </row>
    <row r="22" spans="1:8" x14ac:dyDescent="0.2">
      <c r="A22" s="5" t="s">
        <v>151</v>
      </c>
      <c r="E22" s="13">
        <f>AVERAGEIFS(E5:E17,B5:B17,"Mid-Range")</f>
        <v>837</v>
      </c>
      <c r="F22" s="12">
        <f>AVERAGEIFS(F5:F17,B5:B17,"Mid-Range")</f>
        <v>37.366666666666667</v>
      </c>
    </row>
    <row r="23" spans="1:8" x14ac:dyDescent="0.2">
      <c r="A23" s="5" t="s">
        <v>152</v>
      </c>
      <c r="E23" s="13">
        <f>AVERAGEIFS(E5:E17,B5:B17,"Budget-Premium")</f>
        <v>632</v>
      </c>
      <c r="F23" s="12">
        <f>AVERAGEIFS(F5:F17,B5:B17,"Budget-Premium")</f>
        <v>29.333333333333336</v>
      </c>
    </row>
    <row r="24" spans="1:8" x14ac:dyDescent="0.2">
      <c r="A24" s="5" t="s">
        <v>153</v>
      </c>
      <c r="E24" s="13">
        <f>AVERAGE(E5:E17)</f>
        <v>1053.0769230769231</v>
      </c>
      <c r="F24" s="12">
        <f>AVERAGE(F5:F17)</f>
        <v>43.100894105894106</v>
      </c>
    </row>
    <row r="26" spans="1:8" x14ac:dyDescent="0.2">
      <c r="A26" s="3" t="s">
        <v>154</v>
      </c>
    </row>
    <row r="27" spans="1:8" x14ac:dyDescent="0.2">
      <c r="A27" s="4" t="s">
        <v>47</v>
      </c>
      <c r="B27" s="4" t="s">
        <v>103</v>
      </c>
      <c r="C27" s="4" t="s">
        <v>155</v>
      </c>
      <c r="D27" s="4" t="s">
        <v>156</v>
      </c>
      <c r="E27" s="4" t="s">
        <v>157</v>
      </c>
      <c r="F27" s="4" t="s">
        <v>158</v>
      </c>
      <c r="G27" s="4" t="s">
        <v>107</v>
      </c>
    </row>
    <row r="28" spans="1:8" x14ac:dyDescent="0.2">
      <c r="A28" s="5" t="s">
        <v>4</v>
      </c>
      <c r="B28" s="5" t="s">
        <v>159</v>
      </c>
      <c r="C28" s="6">
        <v>275</v>
      </c>
      <c r="D28" s="6">
        <v>430</v>
      </c>
      <c r="E28" s="13">
        <f>AVERAGE(C28,D28)</f>
        <v>352.5</v>
      </c>
      <c r="F28" s="8">
        <v>18</v>
      </c>
      <c r="G28" s="12">
        <f>E28/F28</f>
        <v>19.583333333333332</v>
      </c>
    </row>
    <row r="29" spans="1:8" x14ac:dyDescent="0.2">
      <c r="A29" s="5" t="s">
        <v>5</v>
      </c>
      <c r="B29" s="5" t="s">
        <v>160</v>
      </c>
      <c r="C29" s="6">
        <v>298</v>
      </c>
      <c r="D29" s="6">
        <v>450</v>
      </c>
      <c r="E29" s="13">
        <f>AVERAGE(C29,D29)</f>
        <v>374</v>
      </c>
      <c r="F29" s="8">
        <v>16</v>
      </c>
      <c r="G29" s="12">
        <f>E29/F29</f>
        <v>23.375</v>
      </c>
    </row>
    <row r="30" spans="1:8" x14ac:dyDescent="0.2">
      <c r="A30" s="5" t="s">
        <v>6</v>
      </c>
      <c r="B30" s="5" t="s">
        <v>161</v>
      </c>
      <c r="C30" s="6">
        <v>250</v>
      </c>
      <c r="D30" s="6">
        <v>400</v>
      </c>
      <c r="E30" s="13">
        <f>AVERAGE(C30,D30)</f>
        <v>325</v>
      </c>
      <c r="F30" s="8">
        <v>16</v>
      </c>
      <c r="G30" s="12">
        <f>E30/F30</f>
        <v>20.3125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5722"/>
  </sheetPr>
  <dimension ref="A1:I34"/>
  <sheetViews>
    <sheetView zoomScaleNormal="100" workbookViewId="0"/>
  </sheetViews>
  <sheetFormatPr baseColWidth="10" defaultColWidth="8.6640625" defaultRowHeight="15" customHeight="1" x14ac:dyDescent="0.2"/>
  <cols>
    <col min="1" max="1" width="36" customWidth="1"/>
    <col min="2" max="2" width="18" customWidth="1"/>
    <col min="3" max="9" width="16" customWidth="1"/>
  </cols>
  <sheetData>
    <row r="1" spans="1:9" ht="18" x14ac:dyDescent="0.2">
      <c r="A1" s="1" t="s">
        <v>162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2" t="s">
        <v>163</v>
      </c>
    </row>
    <row r="4" spans="1:9" x14ac:dyDescent="0.2">
      <c r="A4" s="3" t="s">
        <v>164</v>
      </c>
    </row>
    <row r="5" spans="1:9" ht="28" x14ac:dyDescent="0.2">
      <c r="A5" s="4" t="s">
        <v>165</v>
      </c>
      <c r="B5" s="4" t="s">
        <v>166</v>
      </c>
      <c r="C5" s="4" t="s">
        <v>167</v>
      </c>
      <c r="D5" s="4" t="s">
        <v>168</v>
      </c>
      <c r="E5" s="4" t="s">
        <v>169</v>
      </c>
    </row>
    <row r="6" spans="1:9" x14ac:dyDescent="0.2">
      <c r="A6" s="5" t="s">
        <v>170</v>
      </c>
      <c r="B6" s="19">
        <f>AVERAGE('PBSA Comparables'!E8,'PBSA Comparables'!E9)</f>
        <v>1350</v>
      </c>
      <c r="C6" s="19">
        <f>'PRS Benchmark'!C13</f>
        <v>495</v>
      </c>
      <c r="D6" s="20">
        <f>B6/C6</f>
        <v>2.7272727272727271</v>
      </c>
      <c r="E6" s="9">
        <f>D6-1</f>
        <v>1.7272727272727271</v>
      </c>
    </row>
    <row r="7" spans="1:9" x14ac:dyDescent="0.2">
      <c r="A7" s="5" t="s">
        <v>171</v>
      </c>
      <c r="B7" s="19">
        <f>'PBSA Comparables'!E20</f>
        <v>1285.5</v>
      </c>
      <c r="C7" s="19">
        <f>'PRS Benchmark'!C13</f>
        <v>495</v>
      </c>
      <c r="D7" s="20">
        <f>B7/C7</f>
        <v>2.5969696969696972</v>
      </c>
      <c r="E7" s="9">
        <f>D7-1</f>
        <v>1.5969696969696972</v>
      </c>
    </row>
    <row r="8" spans="1:9" x14ac:dyDescent="0.2">
      <c r="A8" s="5" t="s">
        <v>172</v>
      </c>
      <c r="B8" s="19">
        <f>'PBSA Comparables'!E22</f>
        <v>837</v>
      </c>
      <c r="C8" s="19">
        <f>'PRS Benchmark'!C13</f>
        <v>495</v>
      </c>
      <c r="D8" s="20">
        <f>B8/C8</f>
        <v>1.6909090909090909</v>
      </c>
      <c r="E8" s="9">
        <f>D8-1</f>
        <v>0.69090909090909092</v>
      </c>
    </row>
    <row r="9" spans="1:9" x14ac:dyDescent="0.2">
      <c r="A9" s="5" t="s">
        <v>173</v>
      </c>
      <c r="B9" s="19">
        <f>'PBSA Comparables'!E24</f>
        <v>1053.0769230769231</v>
      </c>
      <c r="C9" s="19">
        <f>'PBSA Comparables'!E28</f>
        <v>352.5</v>
      </c>
      <c r="D9" s="20">
        <f>B9/C9</f>
        <v>2.9874522640480086</v>
      </c>
      <c r="E9" s="9">
        <f>D9-1</f>
        <v>1.9874522640480086</v>
      </c>
    </row>
    <row r="11" spans="1:9" x14ac:dyDescent="0.2">
      <c r="A11" s="3" t="s">
        <v>174</v>
      </c>
    </row>
    <row r="12" spans="1:9" x14ac:dyDescent="0.2">
      <c r="A12" s="21" t="s">
        <v>175</v>
      </c>
    </row>
    <row r="13" spans="1:9" ht="28" x14ac:dyDescent="0.2">
      <c r="A13" s="4" t="s">
        <v>47</v>
      </c>
      <c r="B13" s="4" t="s">
        <v>80</v>
      </c>
      <c r="C13" s="4" t="s">
        <v>81</v>
      </c>
      <c r="D13" s="4" t="s">
        <v>176</v>
      </c>
      <c r="E13" s="4" t="s">
        <v>168</v>
      </c>
      <c r="F13" s="4" t="s">
        <v>177</v>
      </c>
      <c r="G13" s="4" t="s">
        <v>178</v>
      </c>
      <c r="H13" s="4" t="s">
        <v>179</v>
      </c>
      <c r="I13" s="4" t="s">
        <v>180</v>
      </c>
    </row>
    <row r="14" spans="1:9" x14ac:dyDescent="0.2">
      <c r="A14" s="5" t="s">
        <v>4</v>
      </c>
      <c r="B14" s="5" t="s">
        <v>85</v>
      </c>
      <c r="C14" s="8">
        <v>18</v>
      </c>
      <c r="D14" s="22">
        <f>'Market Inputs'!B15</f>
        <v>23</v>
      </c>
      <c r="E14" s="23">
        <f>$D$7</f>
        <v>2.5969696969696972</v>
      </c>
      <c r="F14" s="12">
        <f>D14*E14</f>
        <v>59.730303030303034</v>
      </c>
      <c r="G14" s="13">
        <f>F14*C14</f>
        <v>1075.1454545454546</v>
      </c>
      <c r="H14" s="9">
        <f>G14/'PBSA Comparables'!E28-1</f>
        <v>2.0500580270793041</v>
      </c>
      <c r="I14" s="9">
        <f>G14/'PBSA Comparables'!E24-1</f>
        <v>2.0956238794076709E-2</v>
      </c>
    </row>
    <row r="15" spans="1:9" x14ac:dyDescent="0.2">
      <c r="A15" s="5" t="s">
        <v>4</v>
      </c>
      <c r="B15" s="5" t="s">
        <v>86</v>
      </c>
      <c r="C15" s="8">
        <v>22</v>
      </c>
      <c r="D15" s="22">
        <f>'Market Inputs'!B15</f>
        <v>23</v>
      </c>
      <c r="E15" s="23">
        <f>$D$7</f>
        <v>2.5969696969696972</v>
      </c>
      <c r="F15" s="12">
        <f>D15*E15</f>
        <v>59.730303030303034</v>
      </c>
      <c r="G15" s="13">
        <f>F15*C15</f>
        <v>1314.0666666666668</v>
      </c>
      <c r="H15" s="9">
        <f>G15/'PBSA Comparables'!E28-1</f>
        <v>2.727848699763594</v>
      </c>
      <c r="I15" s="9">
        <f>G15/'PBSA Comparables'!E24-1</f>
        <v>0.2478354029705383</v>
      </c>
    </row>
    <row r="16" spans="1:9" x14ac:dyDescent="0.2">
      <c r="A16" s="5" t="s">
        <v>4</v>
      </c>
      <c r="B16" s="5" t="s">
        <v>87</v>
      </c>
      <c r="C16" s="8">
        <v>28</v>
      </c>
      <c r="D16" s="22">
        <f>'Market Inputs'!B15</f>
        <v>23</v>
      </c>
      <c r="E16" s="23">
        <f>$D$7</f>
        <v>2.5969696969696972</v>
      </c>
      <c r="F16" s="12">
        <f>D16*E16</f>
        <v>59.730303030303034</v>
      </c>
      <c r="G16" s="13">
        <f>F16*C16</f>
        <v>1672.4484848484849</v>
      </c>
      <c r="H16" s="9">
        <f>G16/'PBSA Comparables'!E28-1</f>
        <v>3.7445347087900283</v>
      </c>
      <c r="I16" s="9">
        <f>G16/'PBSA Comparables'!E24-1</f>
        <v>0.58815414923523024</v>
      </c>
    </row>
    <row r="17" spans="1:9" x14ac:dyDescent="0.2">
      <c r="A17" s="5" t="s">
        <v>4</v>
      </c>
      <c r="B17" s="5" t="s">
        <v>88</v>
      </c>
      <c r="C17" s="8">
        <v>35</v>
      </c>
      <c r="D17" s="22">
        <f>'Market Inputs'!B15</f>
        <v>23</v>
      </c>
      <c r="E17" s="23">
        <f>$D$7</f>
        <v>2.5969696969696972</v>
      </c>
      <c r="F17" s="12">
        <f>D17*E17</f>
        <v>59.730303030303034</v>
      </c>
      <c r="G17" s="13">
        <f>F17*C17</f>
        <v>2090.560606060606</v>
      </c>
      <c r="H17" s="9">
        <f>G17/'PBSA Comparables'!E28-1</f>
        <v>4.9306683859875351</v>
      </c>
      <c r="I17" s="9">
        <f>G17/'PBSA Comparables'!E24-1</f>
        <v>0.98519268654403791</v>
      </c>
    </row>
    <row r="19" spans="1:9" x14ac:dyDescent="0.2">
      <c r="A19" s="5" t="s">
        <v>5</v>
      </c>
      <c r="B19" s="5" t="s">
        <v>85</v>
      </c>
      <c r="C19" s="8">
        <v>18</v>
      </c>
      <c r="D19" s="22">
        <f>'Market Inputs'!C15</f>
        <v>21</v>
      </c>
      <c r="E19" s="23">
        <f>$D$7</f>
        <v>2.5969696969696972</v>
      </c>
      <c r="F19" s="12">
        <f>D19*E19</f>
        <v>54.536363636363639</v>
      </c>
      <c r="G19" s="13">
        <f>F19*C19</f>
        <v>981.65454545454554</v>
      </c>
      <c r="H19" s="9">
        <f>G19/'PBSA Comparables'!E29-1</f>
        <v>1.6247447739426351</v>
      </c>
      <c r="I19" s="9">
        <f>G19/'PBSA Comparables'!E24-1</f>
        <v>-6.7822564579321232E-2</v>
      </c>
    </row>
    <row r="20" spans="1:9" x14ac:dyDescent="0.2">
      <c r="A20" s="5" t="s">
        <v>5</v>
      </c>
      <c r="B20" s="5" t="s">
        <v>86</v>
      </c>
      <c r="C20" s="8">
        <v>22</v>
      </c>
      <c r="D20" s="22">
        <f>'Market Inputs'!C15</f>
        <v>21</v>
      </c>
      <c r="E20" s="23">
        <f>$D$7</f>
        <v>2.5969696969696972</v>
      </c>
      <c r="F20" s="12">
        <f>D20*E20</f>
        <v>54.536363636363639</v>
      </c>
      <c r="G20" s="13">
        <f>F20*C20</f>
        <v>1199.8</v>
      </c>
      <c r="H20" s="9">
        <f>G20/'PBSA Comparables'!E29-1</f>
        <v>2.2080213903743315</v>
      </c>
      <c r="I20" s="9">
        <f>G20/'PBSA Comparables'!E24-1</f>
        <v>0.13932797662527396</v>
      </c>
    </row>
    <row r="21" spans="1:9" x14ac:dyDescent="0.2">
      <c r="A21" s="5" t="s">
        <v>5</v>
      </c>
      <c r="B21" s="5" t="s">
        <v>87</v>
      </c>
      <c r="C21" s="8">
        <v>28</v>
      </c>
      <c r="D21" s="22">
        <f>'Market Inputs'!C15</f>
        <v>21</v>
      </c>
      <c r="E21" s="23">
        <f>$D$7</f>
        <v>2.5969696969696972</v>
      </c>
      <c r="F21" s="12">
        <f>D21*E21</f>
        <v>54.536363636363639</v>
      </c>
      <c r="G21" s="13">
        <f>F21*C21</f>
        <v>1527.0181818181818</v>
      </c>
      <c r="H21" s="9">
        <f>G21/'PBSA Comparables'!E29-1</f>
        <v>3.0829363150218763</v>
      </c>
      <c r="I21" s="9">
        <f>G21/'PBSA Comparables'!E24-1</f>
        <v>0.4500537884321667</v>
      </c>
    </row>
    <row r="22" spans="1:9" x14ac:dyDescent="0.2">
      <c r="A22" s="5" t="s">
        <v>5</v>
      </c>
      <c r="B22" s="5" t="s">
        <v>88</v>
      </c>
      <c r="C22" s="8">
        <v>35</v>
      </c>
      <c r="D22" s="22">
        <f>'Market Inputs'!C15</f>
        <v>21</v>
      </c>
      <c r="E22" s="23">
        <f>$D$7</f>
        <v>2.5969696969696972</v>
      </c>
      <c r="F22" s="12">
        <f>D22*E22</f>
        <v>54.536363636363639</v>
      </c>
      <c r="G22" s="13">
        <f>F22*C22</f>
        <v>1908.7727272727273</v>
      </c>
      <c r="H22" s="9">
        <f>G22/'PBSA Comparables'!E29-1</f>
        <v>4.103670393777346</v>
      </c>
      <c r="I22" s="9">
        <f>G22/'PBSA Comparables'!E24-1</f>
        <v>0.81256723554020849</v>
      </c>
    </row>
    <row r="24" spans="1:9" x14ac:dyDescent="0.2">
      <c r="A24" s="5" t="s">
        <v>6</v>
      </c>
      <c r="B24" s="5" t="s">
        <v>85</v>
      </c>
      <c r="C24" s="8">
        <v>18</v>
      </c>
      <c r="D24" s="22">
        <f>'Market Inputs'!D15</f>
        <v>10</v>
      </c>
      <c r="E24" s="23">
        <f>$D$7</f>
        <v>2.5969696969696972</v>
      </c>
      <c r="F24" s="12">
        <f>D24*E24</f>
        <v>25.969696969696972</v>
      </c>
      <c r="G24" s="13">
        <f>F24*C24</f>
        <v>467.4545454545455</v>
      </c>
      <c r="H24" s="9">
        <f>G24/'PBSA Comparables'!E30-1</f>
        <v>0.43832167832167834</v>
      </c>
      <c r="I24" s="9">
        <f>G24/'PBSA Comparables'!E24-1</f>
        <v>-0.55610598313301018</v>
      </c>
    </row>
    <row r="25" spans="1:9" x14ac:dyDescent="0.2">
      <c r="A25" s="5" t="s">
        <v>6</v>
      </c>
      <c r="B25" s="5" t="s">
        <v>86</v>
      </c>
      <c r="C25" s="8">
        <v>22</v>
      </c>
      <c r="D25" s="22">
        <f>'Market Inputs'!D15</f>
        <v>10</v>
      </c>
      <c r="E25" s="23">
        <f>$D$7</f>
        <v>2.5969696969696972</v>
      </c>
      <c r="F25" s="12">
        <f>D25*E25</f>
        <v>25.969696969696972</v>
      </c>
      <c r="G25" s="13">
        <f>F25*C25</f>
        <v>571.33333333333337</v>
      </c>
      <c r="H25" s="9">
        <f>G25/'PBSA Comparables'!E30-1</f>
        <v>0.7579487179487181</v>
      </c>
      <c r="I25" s="9">
        <f>G25/'PBSA Comparables'!E24-1</f>
        <v>-0.4574628682736791</v>
      </c>
    </row>
    <row r="26" spans="1:9" x14ac:dyDescent="0.2">
      <c r="A26" s="5" t="s">
        <v>6</v>
      </c>
      <c r="B26" s="5" t="s">
        <v>87</v>
      </c>
      <c r="C26" s="8">
        <v>28</v>
      </c>
      <c r="D26" s="22">
        <f>'Market Inputs'!D15</f>
        <v>10</v>
      </c>
      <c r="E26" s="23">
        <f>$D$7</f>
        <v>2.5969696969696972</v>
      </c>
      <c r="F26" s="12">
        <f>D26*E26</f>
        <v>25.969696969696972</v>
      </c>
      <c r="G26" s="13">
        <f>F26*C26</f>
        <v>727.15151515151524</v>
      </c>
      <c r="H26" s="9">
        <f>G26/'PBSA Comparables'!E30-1</f>
        <v>1.2373892773892776</v>
      </c>
      <c r="I26" s="9">
        <f>G26/'PBSA Comparables'!E24-1</f>
        <v>-0.30949819598468242</v>
      </c>
    </row>
    <row r="27" spans="1:9" x14ac:dyDescent="0.2">
      <c r="A27" s="5" t="s">
        <v>6</v>
      </c>
      <c r="B27" s="5" t="s">
        <v>88</v>
      </c>
      <c r="C27" s="8">
        <v>35</v>
      </c>
      <c r="D27" s="22">
        <f>'Market Inputs'!D15</f>
        <v>10</v>
      </c>
      <c r="E27" s="23">
        <f>$D$7</f>
        <v>2.5969696969696972</v>
      </c>
      <c r="F27" s="12">
        <f>D27*E27</f>
        <v>25.969696969696972</v>
      </c>
      <c r="G27" s="13">
        <f>F27*C27</f>
        <v>908.93939393939399</v>
      </c>
      <c r="H27" s="9">
        <f>G27/'PBSA Comparables'!E30-1</f>
        <v>1.7967365967365967</v>
      </c>
      <c r="I27" s="9">
        <f>G27/'PBSA Comparables'!E24-1</f>
        <v>-0.136872744980853</v>
      </c>
    </row>
    <row r="30" spans="1:9" x14ac:dyDescent="0.2">
      <c r="A30" s="3" t="s">
        <v>181</v>
      </c>
    </row>
    <row r="31" spans="1:9" ht="28" x14ac:dyDescent="0.2">
      <c r="A31" s="4" t="s">
        <v>47</v>
      </c>
      <c r="B31" s="4" t="s">
        <v>182</v>
      </c>
      <c r="C31" s="4" t="s">
        <v>183</v>
      </c>
      <c r="D31" s="4" t="s">
        <v>184</v>
      </c>
      <c r="E31" s="4" t="s">
        <v>185</v>
      </c>
      <c r="F31" s="4" t="s">
        <v>186</v>
      </c>
      <c r="G31" s="4" t="s">
        <v>187</v>
      </c>
      <c r="H31" s="4" t="s">
        <v>188</v>
      </c>
      <c r="I31" s="4" t="s">
        <v>189</v>
      </c>
    </row>
    <row r="32" spans="1:9" x14ac:dyDescent="0.2">
      <c r="A32" s="5" t="s">
        <v>4</v>
      </c>
      <c r="B32" s="19">
        <f>'PBSA Comparables'!E28</f>
        <v>352.5</v>
      </c>
      <c r="C32" s="19">
        <f>'PRS Benchmark'!C13</f>
        <v>495</v>
      </c>
      <c r="D32" s="19">
        <f>'Market Inputs'!B17</f>
        <v>1374</v>
      </c>
      <c r="E32" s="19">
        <f>'Market Inputs'!B18</f>
        <v>1919</v>
      </c>
      <c r="F32" s="19">
        <f>G15</f>
        <v>1314.0666666666668</v>
      </c>
      <c r="G32" s="20">
        <f>E32/B32</f>
        <v>5.4439716312056738</v>
      </c>
      <c r="H32" s="20">
        <f>E32/C32</f>
        <v>3.8767676767676766</v>
      </c>
      <c r="I32" s="20">
        <f>E32/D32</f>
        <v>1.3966521106259098</v>
      </c>
    </row>
    <row r="33" spans="1:9" x14ac:dyDescent="0.2">
      <c r="A33" s="5" t="s">
        <v>5</v>
      </c>
      <c r="B33" s="19">
        <f>'PBSA Comparables'!E29</f>
        <v>374</v>
      </c>
      <c r="C33" s="19">
        <f>'PRS Benchmark'!D13</f>
        <v>473</v>
      </c>
      <c r="D33" s="19">
        <f>'Market Inputs'!C17</f>
        <v>520</v>
      </c>
      <c r="E33" s="19">
        <f>'Market Inputs'!C18</f>
        <v>700</v>
      </c>
      <c r="F33" s="19">
        <f>G20</f>
        <v>1199.8</v>
      </c>
      <c r="G33" s="20">
        <f>E33/B33</f>
        <v>1.8716577540106951</v>
      </c>
      <c r="H33" s="20">
        <f>E33/C33</f>
        <v>1.4799154334038056</v>
      </c>
      <c r="I33" s="20">
        <f>E33/D33</f>
        <v>1.3461538461538463</v>
      </c>
    </row>
    <row r="34" spans="1:9" x14ac:dyDescent="0.2">
      <c r="A34" s="5" t="s">
        <v>6</v>
      </c>
      <c r="B34" s="19">
        <f>'PBSA Comparables'!E30</f>
        <v>325</v>
      </c>
      <c r="C34" s="19">
        <f>'PRS Benchmark'!E13</f>
        <v>225.5</v>
      </c>
      <c r="D34" s="19">
        <f>'Market Inputs'!D17</f>
        <v>350</v>
      </c>
      <c r="E34" s="19">
        <f>'Market Inputs'!D18</f>
        <v>550</v>
      </c>
      <c r="F34" s="19">
        <f>G25</f>
        <v>571.33333333333337</v>
      </c>
      <c r="G34" s="20">
        <f>E34/B34</f>
        <v>1.6923076923076923</v>
      </c>
      <c r="H34" s="20">
        <f>E34/C34</f>
        <v>2.4390243902439024</v>
      </c>
      <c r="I34" s="20">
        <f>E34/D34</f>
        <v>1.5714285714285714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27B0"/>
  </sheetPr>
  <dimension ref="A1:H41"/>
  <sheetViews>
    <sheetView zoomScaleNormal="100" workbookViewId="0"/>
  </sheetViews>
  <sheetFormatPr baseColWidth="10" defaultColWidth="8.6640625" defaultRowHeight="15" customHeight="1" x14ac:dyDescent="0.2"/>
  <cols>
    <col min="1" max="1" width="32" customWidth="1"/>
    <col min="2" max="2" width="14" customWidth="1"/>
    <col min="3" max="3" width="15" customWidth="1"/>
    <col min="4" max="4" width="14" customWidth="1"/>
    <col min="5" max="5" width="17" customWidth="1"/>
    <col min="6" max="8" width="14" customWidth="1"/>
  </cols>
  <sheetData>
    <row r="1" spans="1:8" ht="18" x14ac:dyDescent="0.2">
      <c r="A1" s="1" t="s">
        <v>190</v>
      </c>
      <c r="B1" s="1"/>
      <c r="C1" s="1"/>
      <c r="D1" s="1"/>
      <c r="E1" s="1"/>
      <c r="F1" s="1"/>
      <c r="G1" s="1"/>
      <c r="H1" s="1"/>
    </row>
    <row r="2" spans="1:8" x14ac:dyDescent="0.2">
      <c r="A2" s="2" t="s">
        <v>191</v>
      </c>
    </row>
    <row r="4" spans="1:8" x14ac:dyDescent="0.2">
      <c r="A4" s="3" t="s">
        <v>192</v>
      </c>
    </row>
    <row r="5" spans="1:8" x14ac:dyDescent="0.2">
      <c r="A5" s="4" t="s">
        <v>193</v>
      </c>
      <c r="B5" s="4" t="s">
        <v>194</v>
      </c>
      <c r="C5" s="4" t="s">
        <v>195</v>
      </c>
    </row>
    <row r="6" spans="1:8" x14ac:dyDescent="0.2">
      <c r="A6" s="5" t="s">
        <v>196</v>
      </c>
      <c r="B6" s="24">
        <v>0.1</v>
      </c>
      <c r="C6" s="25" t="s">
        <v>197</v>
      </c>
    </row>
    <row r="7" spans="1:8" x14ac:dyDescent="0.2">
      <c r="A7" s="5" t="s">
        <v>9</v>
      </c>
      <c r="B7" s="24">
        <v>0.12</v>
      </c>
      <c r="C7" s="25" t="s">
        <v>198</v>
      </c>
    </row>
    <row r="8" spans="1:8" x14ac:dyDescent="0.2">
      <c r="A8" s="5" t="s">
        <v>17</v>
      </c>
      <c r="B8" s="24">
        <v>0.15</v>
      </c>
      <c r="C8" s="25" t="s">
        <v>199</v>
      </c>
    </row>
    <row r="9" spans="1:8" x14ac:dyDescent="0.2">
      <c r="A9" s="5" t="s">
        <v>200</v>
      </c>
      <c r="B9" s="24">
        <v>0.15</v>
      </c>
      <c r="C9" s="25" t="s">
        <v>201</v>
      </c>
    </row>
    <row r="10" spans="1:8" x14ac:dyDescent="0.2">
      <c r="A10" s="5" t="s">
        <v>202</v>
      </c>
      <c r="B10" s="24">
        <v>0.12</v>
      </c>
      <c r="C10" s="25" t="s">
        <v>203</v>
      </c>
    </row>
    <row r="11" spans="1:8" x14ac:dyDescent="0.2">
      <c r="A11" s="5" t="s">
        <v>204</v>
      </c>
      <c r="B11" s="24">
        <v>0.08</v>
      </c>
      <c r="C11" s="25" t="s">
        <v>205</v>
      </c>
    </row>
    <row r="12" spans="1:8" x14ac:dyDescent="0.2">
      <c r="A12" s="5" t="s">
        <v>44</v>
      </c>
      <c r="B12" s="24">
        <v>0.08</v>
      </c>
      <c r="C12" s="25" t="s">
        <v>206</v>
      </c>
    </row>
    <row r="13" spans="1:8" x14ac:dyDescent="0.2">
      <c r="A13" s="5" t="s">
        <v>207</v>
      </c>
      <c r="B13" s="24">
        <v>0.1</v>
      </c>
      <c r="C13" s="25" t="s">
        <v>208</v>
      </c>
    </row>
    <row r="14" spans="1:8" x14ac:dyDescent="0.2">
      <c r="A14" s="5" t="s">
        <v>209</v>
      </c>
      <c r="B14" s="24">
        <v>0.05</v>
      </c>
      <c r="C14" s="25" t="s">
        <v>210</v>
      </c>
    </row>
    <row r="15" spans="1:8" x14ac:dyDescent="0.2">
      <c r="A15" s="5" t="s">
        <v>211</v>
      </c>
      <c r="B15" s="24">
        <v>0.05</v>
      </c>
      <c r="C15" s="25" t="s">
        <v>212</v>
      </c>
    </row>
    <row r="16" spans="1:8" x14ac:dyDescent="0.2">
      <c r="A16" s="26" t="s">
        <v>213</v>
      </c>
      <c r="B16" s="9">
        <f>SUM(B6:B15)</f>
        <v>1</v>
      </c>
    </row>
    <row r="18" spans="1:8" x14ac:dyDescent="0.2">
      <c r="A18" s="3" t="s">
        <v>214</v>
      </c>
    </row>
    <row r="19" spans="1:8" x14ac:dyDescent="0.2">
      <c r="A19" s="4" t="s">
        <v>193</v>
      </c>
      <c r="B19" s="4" t="s">
        <v>194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</row>
    <row r="20" spans="1:8" x14ac:dyDescent="0.2">
      <c r="A20" s="5" t="s">
        <v>196</v>
      </c>
      <c r="B20" s="27">
        <f t="shared" ref="B20:B29" si="0">B6</f>
        <v>0.1</v>
      </c>
      <c r="C20" s="28">
        <v>10</v>
      </c>
      <c r="D20" s="29">
        <f t="shared" ref="D20:D29" si="1">B20*C20</f>
        <v>1</v>
      </c>
      <c r="E20" s="28">
        <v>7</v>
      </c>
      <c r="F20" s="29">
        <f t="shared" ref="F20:F29" si="2">B20*E20</f>
        <v>0.70000000000000007</v>
      </c>
      <c r="G20" s="28">
        <v>5</v>
      </c>
      <c r="H20" s="29">
        <f t="shared" ref="H20:H29" si="3">B20*G20</f>
        <v>0.5</v>
      </c>
    </row>
    <row r="21" spans="1:8" x14ac:dyDescent="0.2">
      <c r="A21" s="5" t="s">
        <v>9</v>
      </c>
      <c r="B21" s="27">
        <f t="shared" si="0"/>
        <v>0.12</v>
      </c>
      <c r="C21" s="28">
        <v>10</v>
      </c>
      <c r="D21" s="29">
        <f t="shared" si="1"/>
        <v>1.2</v>
      </c>
      <c r="E21" s="28">
        <v>6</v>
      </c>
      <c r="F21" s="29">
        <f t="shared" si="2"/>
        <v>0.72</v>
      </c>
      <c r="G21" s="28">
        <v>3</v>
      </c>
      <c r="H21" s="29">
        <f t="shared" si="3"/>
        <v>0.36</v>
      </c>
    </row>
    <row r="22" spans="1:8" x14ac:dyDescent="0.2">
      <c r="A22" s="5" t="s">
        <v>17</v>
      </c>
      <c r="B22" s="27">
        <f t="shared" si="0"/>
        <v>0.15</v>
      </c>
      <c r="C22" s="28">
        <v>8</v>
      </c>
      <c r="D22" s="29">
        <f t="shared" si="1"/>
        <v>1.2</v>
      </c>
      <c r="E22" s="28">
        <v>10</v>
      </c>
      <c r="F22" s="29">
        <f t="shared" si="2"/>
        <v>1.5</v>
      </c>
      <c r="G22" s="28">
        <v>5</v>
      </c>
      <c r="H22" s="29">
        <f t="shared" si="3"/>
        <v>0.75</v>
      </c>
    </row>
    <row r="23" spans="1:8" x14ac:dyDescent="0.2">
      <c r="A23" s="5" t="s">
        <v>200</v>
      </c>
      <c r="B23" s="27">
        <f t="shared" si="0"/>
        <v>0.15</v>
      </c>
      <c r="C23" s="28">
        <v>7</v>
      </c>
      <c r="D23" s="29">
        <f t="shared" si="1"/>
        <v>1.05</v>
      </c>
      <c r="E23" s="28">
        <v>7</v>
      </c>
      <c r="F23" s="29">
        <f t="shared" si="2"/>
        <v>1.05</v>
      </c>
      <c r="G23" s="28">
        <v>8</v>
      </c>
      <c r="H23" s="29">
        <f t="shared" si="3"/>
        <v>1.2</v>
      </c>
    </row>
    <row r="24" spans="1:8" x14ac:dyDescent="0.2">
      <c r="A24" s="5" t="s">
        <v>202</v>
      </c>
      <c r="B24" s="27">
        <f t="shared" si="0"/>
        <v>0.12</v>
      </c>
      <c r="C24" s="28">
        <v>10</v>
      </c>
      <c r="D24" s="29">
        <f t="shared" si="1"/>
        <v>1.2</v>
      </c>
      <c r="E24" s="28">
        <v>9</v>
      </c>
      <c r="F24" s="29">
        <f t="shared" si="2"/>
        <v>1.08</v>
      </c>
      <c r="G24" s="28">
        <v>4</v>
      </c>
      <c r="H24" s="29">
        <f t="shared" si="3"/>
        <v>0.48</v>
      </c>
    </row>
    <row r="25" spans="1:8" x14ac:dyDescent="0.2">
      <c r="A25" s="5" t="s">
        <v>204</v>
      </c>
      <c r="B25" s="27">
        <f t="shared" si="0"/>
        <v>0.08</v>
      </c>
      <c r="C25" s="28">
        <v>10</v>
      </c>
      <c r="D25" s="29">
        <f t="shared" si="1"/>
        <v>0.8</v>
      </c>
      <c r="E25" s="28">
        <v>7</v>
      </c>
      <c r="F25" s="29">
        <f t="shared" si="2"/>
        <v>0.56000000000000005</v>
      </c>
      <c r="G25" s="28">
        <v>5</v>
      </c>
      <c r="H25" s="29">
        <f t="shared" si="3"/>
        <v>0.4</v>
      </c>
    </row>
    <row r="26" spans="1:8" x14ac:dyDescent="0.2">
      <c r="A26" s="5" t="s">
        <v>44</v>
      </c>
      <c r="B26" s="27">
        <f t="shared" si="0"/>
        <v>0.08</v>
      </c>
      <c r="C26" s="28">
        <v>8</v>
      </c>
      <c r="D26" s="29">
        <f t="shared" si="1"/>
        <v>0.64</v>
      </c>
      <c r="E26" s="28">
        <v>8</v>
      </c>
      <c r="F26" s="29">
        <f t="shared" si="2"/>
        <v>0.64</v>
      </c>
      <c r="G26" s="28">
        <v>6</v>
      </c>
      <c r="H26" s="29">
        <f t="shared" si="3"/>
        <v>0.48</v>
      </c>
    </row>
    <row r="27" spans="1:8" x14ac:dyDescent="0.2">
      <c r="A27" s="5" t="s">
        <v>207</v>
      </c>
      <c r="B27" s="27">
        <f t="shared" si="0"/>
        <v>0.1</v>
      </c>
      <c r="C27" s="28">
        <v>9</v>
      </c>
      <c r="D27" s="29">
        <f t="shared" si="1"/>
        <v>0.9</v>
      </c>
      <c r="E27" s="28">
        <v>8</v>
      </c>
      <c r="F27" s="29">
        <f t="shared" si="2"/>
        <v>0.8</v>
      </c>
      <c r="G27" s="28">
        <v>8</v>
      </c>
      <c r="H27" s="29">
        <f t="shared" si="3"/>
        <v>0.8</v>
      </c>
    </row>
    <row r="28" spans="1:8" x14ac:dyDescent="0.2">
      <c r="A28" s="5" t="s">
        <v>209</v>
      </c>
      <c r="B28" s="27">
        <f t="shared" si="0"/>
        <v>0.05</v>
      </c>
      <c r="C28" s="28">
        <v>7</v>
      </c>
      <c r="D28" s="29">
        <f t="shared" si="1"/>
        <v>0.35000000000000003</v>
      </c>
      <c r="E28" s="28">
        <v>8</v>
      </c>
      <c r="F28" s="29">
        <f t="shared" si="2"/>
        <v>0.4</v>
      </c>
      <c r="G28" s="28">
        <v>9</v>
      </c>
      <c r="H28" s="29">
        <f t="shared" si="3"/>
        <v>0.45</v>
      </c>
    </row>
    <row r="29" spans="1:8" x14ac:dyDescent="0.2">
      <c r="A29" s="5" t="s">
        <v>211</v>
      </c>
      <c r="B29" s="27">
        <f t="shared" si="0"/>
        <v>0.05</v>
      </c>
      <c r="C29" s="28">
        <v>8</v>
      </c>
      <c r="D29" s="29">
        <f t="shared" si="1"/>
        <v>0.4</v>
      </c>
      <c r="E29" s="28">
        <v>9</v>
      </c>
      <c r="F29" s="29">
        <f t="shared" si="2"/>
        <v>0.45</v>
      </c>
      <c r="G29" s="28">
        <v>5</v>
      </c>
      <c r="H29" s="29">
        <f t="shared" si="3"/>
        <v>0.25</v>
      </c>
    </row>
    <row r="30" spans="1:8" x14ac:dyDescent="0.2">
      <c r="A30" s="30" t="s">
        <v>221</v>
      </c>
      <c r="B30" s="18"/>
      <c r="C30" s="18"/>
      <c r="D30" s="31">
        <f>SUM(D20:D29)</f>
        <v>8.74</v>
      </c>
      <c r="E30" s="18"/>
      <c r="F30" s="31">
        <f>SUM(F20:F29)</f>
        <v>7.8999999999999995</v>
      </c>
      <c r="G30" s="18"/>
      <c r="H30" s="31">
        <f>SUM(H20:H29)</f>
        <v>5.67</v>
      </c>
    </row>
    <row r="31" spans="1:8" x14ac:dyDescent="0.2">
      <c r="A31" s="32" t="s">
        <v>222</v>
      </c>
      <c r="D31" s="33">
        <f>IF(AND(D30&gt;=F30,D30&gt;=H30),1,IF(D30&gt;=F30,2,3))</f>
        <v>1</v>
      </c>
      <c r="F31" s="33">
        <f>IF(AND(F30&gt;=D30,F30&gt;=H30),1,IF(F30&gt;=D30,2,3))</f>
        <v>3</v>
      </c>
      <c r="H31" s="33">
        <f>IF(AND(H30&gt;=D30,H30&gt;=F30),1,IF(H30&gt;=F30,2,3))</f>
        <v>3</v>
      </c>
    </row>
    <row r="33" spans="1:1" x14ac:dyDescent="0.2">
      <c r="A33" s="3" t="s">
        <v>223</v>
      </c>
    </row>
    <row r="34" spans="1:1" x14ac:dyDescent="0.2">
      <c r="A34" s="25" t="s">
        <v>224</v>
      </c>
    </row>
    <row r="35" spans="1:1" x14ac:dyDescent="0.2">
      <c r="A35" s="25" t="s">
        <v>225</v>
      </c>
    </row>
    <row r="36" spans="1:1" x14ac:dyDescent="0.2">
      <c r="A36" s="25" t="s">
        <v>226</v>
      </c>
    </row>
    <row r="37" spans="1:1" x14ac:dyDescent="0.2">
      <c r="A37" s="25" t="s">
        <v>227</v>
      </c>
    </row>
    <row r="38" spans="1:1" x14ac:dyDescent="0.2">
      <c r="A38" s="25" t="s">
        <v>228</v>
      </c>
    </row>
    <row r="39" spans="1:1" x14ac:dyDescent="0.2">
      <c r="A39" s="25" t="s">
        <v>229</v>
      </c>
    </row>
    <row r="40" spans="1:1" x14ac:dyDescent="0.2">
      <c r="A40" s="25" t="s">
        <v>230</v>
      </c>
    </row>
    <row r="41" spans="1:1" x14ac:dyDescent="0.2">
      <c r="A41" s="25" t="s">
        <v>231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800"/>
  </sheetPr>
  <dimension ref="A1:I26"/>
  <sheetViews>
    <sheetView zoomScaleNormal="100" workbookViewId="0"/>
  </sheetViews>
  <sheetFormatPr baseColWidth="10" defaultColWidth="8.6640625" defaultRowHeight="15" customHeight="1" x14ac:dyDescent="0.2"/>
  <cols>
    <col min="1" max="1" width="38" customWidth="1"/>
    <col min="2" max="4" width="16" customWidth="1"/>
    <col min="5" max="5" width="50" customWidth="1"/>
    <col min="6" max="9" width="16" customWidth="1"/>
  </cols>
  <sheetData>
    <row r="1" spans="1:9" ht="18" x14ac:dyDescent="0.2">
      <c r="A1" s="1" t="s">
        <v>232</v>
      </c>
      <c r="B1" s="1"/>
      <c r="C1" s="1"/>
      <c r="D1" s="1"/>
      <c r="E1" s="1"/>
      <c r="F1" s="1"/>
      <c r="G1" s="1"/>
      <c r="H1" s="1"/>
    </row>
    <row r="3" spans="1:9" x14ac:dyDescent="0.2">
      <c r="A3" s="3" t="s">
        <v>233</v>
      </c>
    </row>
    <row r="4" spans="1:9" x14ac:dyDescent="0.2">
      <c r="A4" s="4" t="s">
        <v>47</v>
      </c>
      <c r="B4" s="4" t="s">
        <v>234</v>
      </c>
      <c r="C4" s="4" t="s">
        <v>235</v>
      </c>
      <c r="D4" s="4" t="s">
        <v>236</v>
      </c>
      <c r="E4" s="4" t="s">
        <v>237</v>
      </c>
      <c r="F4" s="34" t="s">
        <v>238</v>
      </c>
      <c r="G4" s="4" t="s">
        <v>239</v>
      </c>
      <c r="H4" s="4" t="s">
        <v>240</v>
      </c>
      <c r="I4" s="4" t="s">
        <v>241</v>
      </c>
    </row>
    <row r="5" spans="1:9" x14ac:dyDescent="0.2">
      <c r="A5" s="5" t="s">
        <v>4</v>
      </c>
      <c r="B5" s="11">
        <v>23</v>
      </c>
      <c r="C5" s="13">
        <f>B5*1.5*22</f>
        <v>759</v>
      </c>
      <c r="D5" s="13">
        <f>B5*1.8*22</f>
        <v>910.8</v>
      </c>
      <c r="E5" s="13">
        <f>B5*2*22</f>
        <v>1012</v>
      </c>
      <c r="F5" s="35">
        <f>B5*2.29*22</f>
        <v>1158.74</v>
      </c>
      <c r="G5" s="13">
        <f>B5*2.5*22</f>
        <v>1265</v>
      </c>
      <c r="H5" s="13">
        <f>B5*2.8*22</f>
        <v>1416.7999999999997</v>
      </c>
      <c r="I5" s="13">
        <f>B5*3*22</f>
        <v>1518</v>
      </c>
    </row>
    <row r="6" spans="1:9" x14ac:dyDescent="0.2">
      <c r="A6" s="5" t="s">
        <v>5</v>
      </c>
      <c r="B6" s="11">
        <v>21</v>
      </c>
      <c r="C6" s="13">
        <f>B6*1.5*22</f>
        <v>693</v>
      </c>
      <c r="D6" s="13">
        <f>B6*1.8*22</f>
        <v>831.60000000000014</v>
      </c>
      <c r="E6" s="13">
        <f>B6*2*22</f>
        <v>924</v>
      </c>
      <c r="F6" s="35">
        <f>B6*2.29*22</f>
        <v>1057.98</v>
      </c>
      <c r="G6" s="13">
        <f>B6*2.5*22</f>
        <v>1155</v>
      </c>
      <c r="H6" s="13">
        <f>B6*2.8*22</f>
        <v>1293.5999999999999</v>
      </c>
      <c r="I6" s="13">
        <f>B6*3*22</f>
        <v>1386</v>
      </c>
    </row>
    <row r="7" spans="1:9" x14ac:dyDescent="0.2">
      <c r="A7" s="5" t="s">
        <v>6</v>
      </c>
      <c r="B7" s="11">
        <v>10</v>
      </c>
      <c r="C7" s="13">
        <f>B7*1.5*22</f>
        <v>330</v>
      </c>
      <c r="D7" s="13">
        <f>B7*1.8*22</f>
        <v>396</v>
      </c>
      <c r="E7" s="13">
        <f>B7*2*22</f>
        <v>440</v>
      </c>
      <c r="F7" s="35">
        <f>B7*2.29*22</f>
        <v>503.79999999999995</v>
      </c>
      <c r="G7" s="13">
        <f>B7*2.5*22</f>
        <v>550</v>
      </c>
      <c r="H7" s="13">
        <f>B7*2.8*22</f>
        <v>616</v>
      </c>
      <c r="I7" s="13">
        <f>B7*3*22</f>
        <v>660</v>
      </c>
    </row>
    <row r="10" spans="1:9" x14ac:dyDescent="0.2">
      <c r="A10" s="3" t="s">
        <v>242</v>
      </c>
    </row>
    <row r="11" spans="1:9" x14ac:dyDescent="0.2">
      <c r="A11" s="4" t="s">
        <v>243</v>
      </c>
      <c r="B11" s="4" t="s">
        <v>4</v>
      </c>
      <c r="C11" s="4" t="s">
        <v>5</v>
      </c>
      <c r="D11" s="4" t="s">
        <v>6</v>
      </c>
      <c r="E11" s="4" t="s">
        <v>244</v>
      </c>
    </row>
    <row r="12" spans="1:9" x14ac:dyDescent="0.2">
      <c r="A12" s="5" t="s">
        <v>245</v>
      </c>
      <c r="B12" s="13">
        <f>23*1.5*22</f>
        <v>759</v>
      </c>
      <c r="C12" s="13">
        <f>21*1.5*22</f>
        <v>693</v>
      </c>
      <c r="D12" s="13">
        <f>10*1.5*22</f>
        <v>330</v>
      </c>
      <c r="E12" s="25" t="s">
        <v>246</v>
      </c>
    </row>
    <row r="13" spans="1:9" x14ac:dyDescent="0.2">
      <c r="A13" s="5" t="s">
        <v>247</v>
      </c>
      <c r="B13" s="13">
        <f>23*2*22</f>
        <v>1012</v>
      </c>
      <c r="C13" s="13">
        <f>21*2*22</f>
        <v>924</v>
      </c>
      <c r="D13" s="13">
        <f>10*2*22</f>
        <v>440</v>
      </c>
      <c r="E13" s="25" t="s">
        <v>248</v>
      </c>
    </row>
    <row r="14" spans="1:9" x14ac:dyDescent="0.2">
      <c r="A14" s="5" t="s">
        <v>249</v>
      </c>
      <c r="B14" s="13">
        <f>23*2.29*22</f>
        <v>1158.74</v>
      </c>
      <c r="C14" s="13">
        <f>21*2.29*22</f>
        <v>1057.98</v>
      </c>
      <c r="D14" s="13">
        <f>10*2.29*22</f>
        <v>503.79999999999995</v>
      </c>
      <c r="E14" s="25" t="s">
        <v>250</v>
      </c>
    </row>
    <row r="15" spans="1:9" x14ac:dyDescent="0.2">
      <c r="A15" s="5" t="s">
        <v>251</v>
      </c>
      <c r="B15" s="13">
        <f>23*2.8*22</f>
        <v>1416.7999999999997</v>
      </c>
      <c r="C15" s="13">
        <f>21*2.8*22</f>
        <v>1293.5999999999999</v>
      </c>
      <c r="D15" s="13">
        <f>10*2.8*22</f>
        <v>616</v>
      </c>
      <c r="E15" s="25" t="s">
        <v>252</v>
      </c>
    </row>
    <row r="16" spans="1:9" x14ac:dyDescent="0.2">
      <c r="A16" s="5" t="s">
        <v>253</v>
      </c>
      <c r="B16" s="13">
        <f>23*3*22</f>
        <v>1518</v>
      </c>
      <c r="C16" s="13">
        <f>21*3*22</f>
        <v>1386</v>
      </c>
      <c r="D16" s="13">
        <f>10*3*22</f>
        <v>660</v>
      </c>
      <c r="E16" s="25" t="s">
        <v>254</v>
      </c>
    </row>
    <row r="19" spans="1:4" x14ac:dyDescent="0.2">
      <c r="A19" s="3" t="s">
        <v>255</v>
      </c>
    </row>
    <row r="20" spans="1:4" x14ac:dyDescent="0.2">
      <c r="A20" s="4" t="s">
        <v>3</v>
      </c>
      <c r="B20" s="4" t="s">
        <v>4</v>
      </c>
      <c r="C20" s="4" t="s">
        <v>5</v>
      </c>
      <c r="D20" s="4" t="s">
        <v>6</v>
      </c>
    </row>
    <row r="21" spans="1:4" x14ac:dyDescent="0.2">
      <c r="A21" s="5" t="s">
        <v>256</v>
      </c>
      <c r="B21" s="36">
        <v>1200</v>
      </c>
      <c r="C21" s="36">
        <v>1000</v>
      </c>
      <c r="D21" s="36">
        <v>850</v>
      </c>
    </row>
    <row r="22" spans="1:4" x14ac:dyDescent="0.2">
      <c r="A22" s="5" t="s">
        <v>257</v>
      </c>
      <c r="B22" s="9">
        <f>352/B21</f>
        <v>0.29333333333333333</v>
      </c>
      <c r="C22" s="9">
        <f>374/C21</f>
        <v>0.374</v>
      </c>
      <c r="D22" s="9">
        <f>325/D21</f>
        <v>0.38235294117647056</v>
      </c>
    </row>
    <row r="23" spans="1:4" x14ac:dyDescent="0.2">
      <c r="A23" s="5" t="s">
        <v>258</v>
      </c>
      <c r="B23" s="9">
        <f>1374/B21</f>
        <v>1.145</v>
      </c>
      <c r="C23" s="9">
        <f>520/C21</f>
        <v>0.52</v>
      </c>
      <c r="D23" s="9">
        <f>350/D21</f>
        <v>0.41176470588235292</v>
      </c>
    </row>
    <row r="24" spans="1:4" x14ac:dyDescent="0.2">
      <c r="A24" s="5" t="s">
        <v>259</v>
      </c>
      <c r="B24" s="9">
        <f>B14/B21</f>
        <v>0.96561666666666668</v>
      </c>
      <c r="C24" s="9">
        <f>C14/C21</f>
        <v>1.0579799999999999</v>
      </c>
      <c r="D24" s="9">
        <f>D14/D21</f>
        <v>0.59270588235294108</v>
      </c>
    </row>
    <row r="25" spans="1:4" x14ac:dyDescent="0.2">
      <c r="A25" s="5" t="s">
        <v>260</v>
      </c>
      <c r="B25" s="36">
        <v>1600</v>
      </c>
      <c r="C25" s="36">
        <v>1300</v>
      </c>
      <c r="D25" s="36">
        <v>1100</v>
      </c>
    </row>
    <row r="26" spans="1:4" x14ac:dyDescent="0.2">
      <c r="A26" s="5" t="s">
        <v>261</v>
      </c>
      <c r="B26" s="9">
        <f>B14/B25</f>
        <v>0.72421250000000004</v>
      </c>
      <c r="C26" s="9">
        <f>C14/C25</f>
        <v>0.81383076923076925</v>
      </c>
      <c r="D26" s="9">
        <f>D14/D25</f>
        <v>0.45799999999999996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Inputs</vt:lpstr>
      <vt:lpstr>PRS Benchmark</vt:lpstr>
      <vt:lpstr>PBSA Comparables</vt:lpstr>
      <vt:lpstr>Pricing Model</vt:lpstr>
      <vt:lpstr>Market Scorecard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Charles Cartisser</cp:lastModifiedBy>
  <cp:revision>0</cp:revision>
  <dcterms:created xsi:type="dcterms:W3CDTF">2026-03-29T05:30:52Z</dcterms:created>
  <dcterms:modified xsi:type="dcterms:W3CDTF">2026-03-29T05:36:42Z</dcterms:modified>
  <dc:language>en-US</dc:language>
</cp:coreProperties>
</file>