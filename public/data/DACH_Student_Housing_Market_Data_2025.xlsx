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rmany" sheetId="1" state="visible" r:id="rId3"/>
    <sheet name="Austria" sheetId="2" state="visible" r:id="rId4"/>
    <sheet name="Sources &amp; Methodolog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<sst xmlns="http://schemas.openxmlformats.org/spreadsheetml/2006/main" count="150" uniqueCount="111">
  <si>
    <t xml:space="preserve">Student Housing Market Overview – Germany (2025/26)</t>
  </si>
  <si>
    <t xml:space="preserve">City</t>
  </si>
  <si>
    <t xml:space="preserve">State</t>
  </si>
  <si>
    <t xml:space="preserve">Student
Population
(approx.)</t>
  </si>
  <si>
    <t xml:space="preserve">No. of
Universities/
HEIs</t>
  </si>
  <si>
    <t xml:space="preserve">Studio Rent
Avg (€/mo)</t>
  </si>
  <si>
    <t xml:space="preserve">PBSA Rent
Avg (€/mo)</t>
  </si>
  <si>
    <t xml:space="preserve">Premium PBSA
Rent Avg
(€/mo)</t>
  </si>
  <si>
    <t xml:space="preserve">Studentenwerk
Benchmark
(€/mo)</t>
  </si>
  <si>
    <t xml:space="preserve">Delta PBSA
vs Studentenwerk
(€/mo)</t>
  </si>
  <si>
    <t xml:space="preserve">Delta PBSA
vs Studentenwerk
(%)</t>
  </si>
  <si>
    <t xml:space="preserve">WG Room
Avg (€/mo)</t>
  </si>
  <si>
    <t xml:space="preserve">PRS Rent
(€/sq m)</t>
  </si>
  <si>
    <t xml:space="preserve">PBSA Rent
Growth
(YoY %)</t>
  </si>
  <si>
    <t xml:space="preserve">PRS Rent
Growth
(YoY %)</t>
  </si>
  <si>
    <t xml:space="preserve">PBSA Beds
(approx.)</t>
  </si>
  <si>
    <t xml:space="preserve">Provision
Rate (%)</t>
  </si>
  <si>
    <t xml:space="preserve">Occupancy
Rate (%)</t>
  </si>
  <si>
    <t xml:space="preserve">Notes / Sources</t>
  </si>
  <si>
    <t xml:space="preserve">Munich</t>
  </si>
  <si>
    <t xml:space="preserve">Bavaria</t>
  </si>
  <si>
    <t xml:space="preserve">Berlin</t>
  </si>
  <si>
    <t xml:space="preserve">Hamburg</t>
  </si>
  <si>
    <t xml:space="preserve">Cologne</t>
  </si>
  <si>
    <t xml:space="preserve">NRW</t>
  </si>
  <si>
    <t xml:space="preserve">Frankfurt</t>
  </si>
  <si>
    <t xml:space="preserve">Hesse</t>
  </si>
  <si>
    <t xml:space="preserve">Stuttgart</t>
  </si>
  <si>
    <t xml:space="preserve">Baden-Württemberg</t>
  </si>
  <si>
    <t xml:space="preserve">Düsseldorf</t>
  </si>
  <si>
    <t xml:space="preserve">Leipzig</t>
  </si>
  <si>
    <t xml:space="preserve">Saxony</t>
  </si>
  <si>
    <t xml:space="preserve">Dresden</t>
  </si>
  <si>
    <t xml:space="preserve">Nuremberg</t>
  </si>
  <si>
    <t xml:space="preserve">Hannover</t>
  </si>
  <si>
    <t xml:space="preserve">Lower Saxony</t>
  </si>
  <si>
    <t xml:space="preserve">Bonn</t>
  </si>
  <si>
    <t xml:space="preserve">Münster</t>
  </si>
  <si>
    <t xml:space="preserve">Dortmund</t>
  </si>
  <si>
    <t xml:space="preserve">Essen</t>
  </si>
  <si>
    <t xml:space="preserve">Bremen</t>
  </si>
  <si>
    <t xml:space="preserve">Freiburg</t>
  </si>
  <si>
    <t xml:space="preserve">Heidelberg</t>
  </si>
  <si>
    <t xml:space="preserve">Aachen</t>
  </si>
  <si>
    <t xml:space="preserve">Karlsruhe</t>
  </si>
  <si>
    <t xml:space="preserve">Göttingen</t>
  </si>
  <si>
    <t xml:space="preserve">Würzburg</t>
  </si>
  <si>
    <t xml:space="preserve">Mainz</t>
  </si>
  <si>
    <t xml:space="preserve">Rhineland-Palatinate</t>
  </si>
  <si>
    <t xml:space="preserve">Erlangen</t>
  </si>
  <si>
    <t xml:space="preserve">Regensburg</t>
  </si>
  <si>
    <t xml:space="preserve">Augsburg</t>
  </si>
  <si>
    <t xml:space="preserve">Kiel</t>
  </si>
  <si>
    <t xml:space="preserve">Schleswig-Holstein</t>
  </si>
  <si>
    <t xml:space="preserve">Rostock</t>
  </si>
  <si>
    <t xml:space="preserve">Mecklenburg-Vorpommern</t>
  </si>
  <si>
    <t xml:space="preserve">Magdeburg</t>
  </si>
  <si>
    <t xml:space="preserve">Saxony-Anhalt</t>
  </si>
  <si>
    <t xml:space="preserve">Chemnitz</t>
  </si>
  <si>
    <t xml:space="preserve">Student Housing Market Overview – Austria (2025/26)</t>
  </si>
  <si>
    <t xml:space="preserve">OeAD/Wihast
Benchmark
(€/mo)</t>
  </si>
  <si>
    <t xml:space="preserve">Vienna</t>
  </si>
  <si>
    <t xml:space="preserve">Graz</t>
  </si>
  <si>
    <t xml:space="preserve">Styria</t>
  </si>
  <si>
    <t xml:space="preserve">Innsbruck</t>
  </si>
  <si>
    <t xml:space="preserve">Tyrol</t>
  </si>
  <si>
    <t xml:space="preserve">Salzburg</t>
  </si>
  <si>
    <t xml:space="preserve">Linz</t>
  </si>
  <si>
    <t xml:space="preserve">Upper Austria</t>
  </si>
  <si>
    <t xml:space="preserve">Klagenfurt</t>
  </si>
  <si>
    <t xml:space="preserve">Carinthia</t>
  </si>
  <si>
    <t xml:space="preserve">Sources &amp; Methodology</t>
  </si>
  <si>
    <t xml:space="preserve">Data Vintage: 2025/26 academic year (Summer Semester 2025 / Winter Semester 2025-26)</t>
  </si>
  <si>
    <t xml:space="preserve">PBSA Rent Data:</t>
  </si>
  <si>
    <t xml:space="preserve">  • JLL German PBSA 2025 Report – city-level PBSA &amp; hybrid concept rents</t>
  </si>
  <si>
    <t xml:space="preserve">  • Bonard European PBSA Market Reports 2024-2025 – occupancy, rent growth</t>
  </si>
  <si>
    <t xml:space="preserve">  • CBRE European PBSA Outlook 2026 – market-level insights</t>
  </si>
  <si>
    <t xml:space="preserve">  • Savills Student Housing in Germany (July 2025) – supply/demand analysis</t>
  </si>
  <si>
    <t xml:space="preserve">WG / Shared Flat Data:</t>
  </si>
  <si>
    <t xml:space="preserve">  • Moses Mendelssohn Institute (MMI) / WG-Gesucht analysis (SoSe 2025)</t>
  </si>
  <si>
    <t xml:space="preserve">  • HousingAnywhere International Rent Index Q4 2025</t>
  </si>
  <si>
    <t xml:space="preserve">  • The Local DE (March 2026) – city-by-city breakdown</t>
  </si>
  <si>
    <t xml:space="preserve">Studentenwerk / OeAD Benchmark:</t>
  </si>
  <si>
    <t xml:space="preserve">  • Studierendenwerk websites by city (Berlin, Munich, Hamburg, etc.)</t>
  </si>
  <si>
    <t xml:space="preserve">  • National DSW average: €305.52/mo</t>
  </si>
  <si>
    <t xml:space="preserve">  • OeAD Student Housing (Austria) – official pricing 2025/26</t>
  </si>
  <si>
    <t xml:space="preserve">  • Wihast (Austria) – dormitory pricing 2025/26</t>
  </si>
  <si>
    <t xml:space="preserve">PRS Rent Data:</t>
  </si>
  <si>
    <t xml:space="preserve">  • Cushman &amp; Wakefield Top-7 Residential Markets (Q2 2025)</t>
  </si>
  <si>
    <t xml:space="preserve">  • JLL Housing Market Overview H2 2025</t>
  </si>
  <si>
    <t xml:space="preserve">  • Investropa Germany Rents (Jan 2026)</t>
  </si>
  <si>
    <t xml:space="preserve">  • Global Property Guide – Austria residential market analysis 2026</t>
  </si>
  <si>
    <t xml:space="preserve">Student Population &amp; University Data:</t>
  </si>
  <si>
    <t xml:space="preserve">  • Destatis (Federal Statistical Office) – WS 2024/25 enrollment</t>
  </si>
  <si>
    <t xml:space="preserve">  • CHE Hochschuldaten – city and state-level student data</t>
  </si>
  <si>
    <t xml:space="preserve">  • Savills European Student Housing Supply &amp; Demand Report</t>
  </si>
  <si>
    <t xml:space="preserve">Rent Growth:</t>
  </si>
  <si>
    <t xml:space="preserve">  • Bonard: European PBSA rent growth +5.4% (2024), +7.4% for studios</t>
  </si>
  <si>
    <t xml:space="preserve">  • JLL: Hybrid PBSA rents +4.8% YoY (SoSe 2025 vs WiSe 2024/25)</t>
  </si>
  <si>
    <t xml:space="preserve">  • C&amp;W: Top-7 PRS asking rent growth ranged from -1.8% (Berlin) to +8.7% (Hamburg)</t>
  </si>
  <si>
    <t xml:space="preserve">  • Austria: PRS rents +4.2% YoY in Q4 2024; new lease asking rents +6% est.</t>
  </si>
  <si>
    <t xml:space="preserve">Notes:</t>
  </si>
  <si>
    <t xml:space="preserve">  • Blue font = hardcoded input values (editable assumptions)</t>
  </si>
  <si>
    <t xml:space="preserve">  • Black font = calculated formulas</t>
  </si>
  <si>
    <t xml:space="preserve">  • "Premium PBSA" refers to hybrid/micro-living concepts (mixed student + young professional)</t>
  </si>
  <si>
    <t xml:space="preserve">  • Studentenwerk/OeAD figures represent public/subsidised benchmark rents</t>
  </si>
  <si>
    <t xml:space="preserve">  • Delta columns show the premium that private PBSA commands over public benchmarks</t>
  </si>
  <si>
    <t xml:space="preserve">  • Provision Rate = PBSA Beds / Student Population</t>
  </si>
  <si>
    <t xml:space="preserve">  • Some student population figures are estimates based on state-level data + university enrollment</t>
  </si>
  <si>
    <t xml:space="preserve">  • PBSA bed counts for smaller cities are estimates based on market reports and provision rates</t>
  </si>
  <si>
    <t xml:space="preserve">  • Germany national PBSA occupancy ~96%; Austria ~93% (Bonard 2024)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</si>
</sst>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€#,##0"/>
    <numFmt numFmtId="167" formatCode="0.0%"/>
    <numFmt numFmtId="168" formatCode="\€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B3A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B3A67"/>
        <bgColor rgb="FF333333"/>
      </patternFill>
    </fill>
    <fill>
      <patternFill patternType="solid">
        <fgColor rgb="FFF0F4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4FA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B3A6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10" min="7" style="0" width="14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7" min="13" style="0" width="12"/>
    <col collapsed="false" customWidth="true" hidden="false" outlineLevel="0" max="18" min="18" style="0" width="5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4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customFormat="false" ht="15" hidden="false" customHeight="false" outlineLevel="0" collapsed="false">
      <c r="A3" s="3" t="s">
        <v>19</v>
      </c>
      <c r="B3" s="4" t="s">
        <v>20</v>
      </c>
      <c r="C3" s="5" t="n">
        <v>130000</v>
      </c>
      <c r="D3" s="6" t="n">
        <v>16</v>
      </c>
      <c r="E3" s="7" t="n">
        <v>900</v>
      </c>
      <c r="F3" s="7" t="n">
        <v>1374</v>
      </c>
      <c r="G3" s="7" t="n">
        <v>1374</v>
      </c>
      <c r="H3" s="7" t="n">
        <v>401</v>
      </c>
      <c r="I3" s="8" t="n">
        <f aca="false">F3-H3</f>
        <v>973</v>
      </c>
      <c r="J3" s="9" t="n">
        <f aca="false">IF(H3&gt;0,(F3-H3)/H3,"")</f>
        <v>2.42643391521197</v>
      </c>
      <c r="K3" s="7" t="n">
        <v>776</v>
      </c>
      <c r="L3" s="10" t="n">
        <v>24.11</v>
      </c>
      <c r="M3" s="11" t="n">
        <v>0.048</v>
      </c>
      <c r="N3" s="11" t="n">
        <v>0.034</v>
      </c>
      <c r="O3" s="5" t="n">
        <v>12000</v>
      </c>
      <c r="P3" s="9" t="n">
        <f aca="false">IF(C3&gt;0,O3/C3,"")</f>
        <v>0.0923076923076923</v>
      </c>
      <c r="Q3" s="11"/>
      <c r="R3" s="12" t="n">
        <v>0.96</v>
      </c>
    </row>
    <row r="4" customFormat="false" ht="15" hidden="false" customHeight="false" outlineLevel="0" collapsed="false">
      <c r="A4" s="3" t="s">
        <v>21</v>
      </c>
      <c r="B4" s="13" t="s">
        <v>21</v>
      </c>
      <c r="C4" s="14" t="n">
        <v>200000</v>
      </c>
      <c r="D4" s="15" t="n">
        <v>40</v>
      </c>
      <c r="E4" s="16" t="n">
        <v>750</v>
      </c>
      <c r="F4" s="16" t="n">
        <v>805</v>
      </c>
      <c r="G4" s="16" t="n">
        <v>1140</v>
      </c>
      <c r="H4" s="16" t="n">
        <v>300</v>
      </c>
      <c r="I4" s="17" t="n">
        <f aca="false">F4-H4</f>
        <v>505</v>
      </c>
      <c r="J4" s="18" t="n">
        <f aca="false">IF(H4&gt;0,(F4-H4)/H4,"")</f>
        <v>1.68333333333333</v>
      </c>
      <c r="K4" s="16" t="n">
        <v>637</v>
      </c>
      <c r="L4" s="19" t="n">
        <v>19.49</v>
      </c>
      <c r="M4" s="20" t="n">
        <v>0.048</v>
      </c>
      <c r="N4" s="20" t="n">
        <v>-0.018</v>
      </c>
      <c r="O4" s="14" t="n">
        <v>15000</v>
      </c>
      <c r="P4" s="18" t="n">
        <f aca="false">IF(C4&gt;0,O4/C4,"")</f>
        <v>0.075</v>
      </c>
      <c r="Q4" s="20"/>
      <c r="R4" s="21" t="n">
        <v>0.96</v>
      </c>
    </row>
    <row r="5" customFormat="false" ht="15" hidden="false" customHeight="false" outlineLevel="0" collapsed="false">
      <c r="A5" s="3" t="s">
        <v>22</v>
      </c>
      <c r="B5" s="4" t="s">
        <v>22</v>
      </c>
      <c r="C5" s="5" t="n">
        <v>110000</v>
      </c>
      <c r="D5" s="6" t="n">
        <v>20</v>
      </c>
      <c r="E5" s="7" t="n">
        <v>800</v>
      </c>
      <c r="F5" s="7" t="n">
        <v>954</v>
      </c>
      <c r="G5" s="7" t="n">
        <v>1171</v>
      </c>
      <c r="H5" s="7" t="n">
        <v>310</v>
      </c>
      <c r="I5" s="8" t="n">
        <f aca="false">F5-H5</f>
        <v>644</v>
      </c>
      <c r="J5" s="9" t="n">
        <f aca="false">IF(H5&gt;0,(F5-H5)/H5,"")</f>
        <v>2.07741935483871</v>
      </c>
      <c r="K5" s="7" t="n">
        <v>550</v>
      </c>
      <c r="L5" s="10" t="n">
        <v>18</v>
      </c>
      <c r="M5" s="11" t="n">
        <v>0.048</v>
      </c>
      <c r="N5" s="11" t="n">
        <v>0.087</v>
      </c>
      <c r="O5" s="5" t="n">
        <v>8000</v>
      </c>
      <c r="P5" s="9" t="n">
        <f aca="false">IF(C5&gt;0,O5/C5,"")</f>
        <v>0.0727272727272727</v>
      </c>
      <c r="Q5" s="11"/>
      <c r="R5" s="12" t="n">
        <v>0.96</v>
      </c>
    </row>
    <row r="6" customFormat="false" ht="15" hidden="false" customHeight="false" outlineLevel="0" collapsed="false">
      <c r="A6" s="3" t="s">
        <v>23</v>
      </c>
      <c r="B6" s="13" t="s">
        <v>24</v>
      </c>
      <c r="C6" s="14" t="n">
        <v>100000</v>
      </c>
      <c r="D6" s="15" t="n">
        <v>12</v>
      </c>
      <c r="E6" s="16" t="n">
        <v>700</v>
      </c>
      <c r="F6" s="16" t="n">
        <v>791</v>
      </c>
      <c r="G6" s="16" t="n">
        <v>836</v>
      </c>
      <c r="H6" s="16" t="n">
        <v>321</v>
      </c>
      <c r="I6" s="17" t="n">
        <f aca="false">F6-H6</f>
        <v>470</v>
      </c>
      <c r="J6" s="18" t="n">
        <f aca="false">IF(H6&gt;0,(F6-H6)/H6,"")</f>
        <v>1.46417445482866</v>
      </c>
      <c r="K6" s="16" t="n">
        <v>620</v>
      </c>
      <c r="L6" s="19" t="n">
        <v>14.5</v>
      </c>
      <c r="M6" s="20" t="n">
        <v>0.048</v>
      </c>
      <c r="N6" s="20" t="n">
        <v>0.05</v>
      </c>
      <c r="O6" s="14" t="n">
        <v>6000</v>
      </c>
      <c r="P6" s="18" t="n">
        <f aca="false">IF(C6&gt;0,O6/C6,"")</f>
        <v>0.06</v>
      </c>
      <c r="Q6" s="20"/>
      <c r="R6" s="21" t="n">
        <v>0.96</v>
      </c>
    </row>
    <row r="7" customFormat="false" ht="15" hidden="false" customHeight="false" outlineLevel="0" collapsed="false">
      <c r="A7" s="3" t="s">
        <v>25</v>
      </c>
      <c r="B7" s="4" t="s">
        <v>26</v>
      </c>
      <c r="C7" s="5" t="n">
        <v>75000</v>
      </c>
      <c r="D7" s="6" t="n">
        <v>8</v>
      </c>
      <c r="E7" s="7" t="n">
        <v>780</v>
      </c>
      <c r="F7" s="7" t="n">
        <v>750</v>
      </c>
      <c r="G7" s="7" t="n">
        <v>950</v>
      </c>
      <c r="H7" s="7" t="n">
        <v>494</v>
      </c>
      <c r="I7" s="8" t="n">
        <f aca="false">F7-H7</f>
        <v>256</v>
      </c>
      <c r="J7" s="9" t="n">
        <f aca="false">IF(H7&gt;0,(F7-H7)/H7,"")</f>
        <v>0.518218623481781</v>
      </c>
      <c r="K7" s="7" t="n">
        <v>665</v>
      </c>
      <c r="L7" s="10" t="n">
        <v>17</v>
      </c>
      <c r="M7" s="11" t="n">
        <v>0.048</v>
      </c>
      <c r="N7" s="11" t="n">
        <v>0.069</v>
      </c>
      <c r="O7" s="5" t="n">
        <v>4500</v>
      </c>
      <c r="P7" s="9" t="n">
        <f aca="false">IF(C7&gt;0,O7/C7,"")</f>
        <v>0.06</v>
      </c>
      <c r="Q7" s="11"/>
      <c r="R7" s="12" t="n">
        <v>0.96</v>
      </c>
    </row>
    <row r="8" customFormat="false" ht="15" hidden="false" customHeight="false" outlineLevel="0" collapsed="false">
      <c r="A8" s="3" t="s">
        <v>27</v>
      </c>
      <c r="B8" s="13" t="s">
        <v>28</v>
      </c>
      <c r="C8" s="14" t="n">
        <v>60000</v>
      </c>
      <c r="D8" s="15" t="n">
        <v>10</v>
      </c>
      <c r="E8" s="16" t="n">
        <v>650</v>
      </c>
      <c r="F8" s="16" t="n">
        <v>680</v>
      </c>
      <c r="G8" s="16" t="n">
        <v>850</v>
      </c>
      <c r="H8" s="16" t="n">
        <v>390</v>
      </c>
      <c r="I8" s="17" t="n">
        <f aca="false">F8-H8</f>
        <v>290</v>
      </c>
      <c r="J8" s="18" t="n">
        <f aca="false">IF(H8&gt;0,(F8-H8)/H8,"")</f>
        <v>0.743589743589744</v>
      </c>
      <c r="K8" s="16" t="n">
        <v>530</v>
      </c>
      <c r="L8" s="19" t="n">
        <v>15.5</v>
      </c>
      <c r="M8" s="20" t="n">
        <v>0.048</v>
      </c>
      <c r="N8" s="20" t="n">
        <v>0.038</v>
      </c>
      <c r="O8" s="14" t="n">
        <v>4000</v>
      </c>
      <c r="P8" s="18" t="n">
        <f aca="false">IF(C8&gt;0,O8/C8,"")</f>
        <v>0.0666666666666667</v>
      </c>
      <c r="Q8" s="20"/>
      <c r="R8" s="21" t="n">
        <v>0.96</v>
      </c>
    </row>
    <row r="9" customFormat="false" ht="15" hidden="false" customHeight="false" outlineLevel="0" collapsed="false">
      <c r="A9" s="3" t="s">
        <v>29</v>
      </c>
      <c r="B9" s="4" t="s">
        <v>24</v>
      </c>
      <c r="C9" s="5" t="n">
        <v>55000</v>
      </c>
      <c r="D9" s="6" t="n">
        <v>7</v>
      </c>
      <c r="E9" s="7" t="n">
        <v>700</v>
      </c>
      <c r="F9" s="7" t="n">
        <v>720</v>
      </c>
      <c r="G9" s="7" t="n">
        <v>900</v>
      </c>
      <c r="H9" s="7" t="n">
        <v>310</v>
      </c>
      <c r="I9" s="8" t="n">
        <f aca="false">F9-H9</f>
        <v>410</v>
      </c>
      <c r="J9" s="9" t="n">
        <f aca="false">IF(H9&gt;0,(F9-H9)/H9,"")</f>
        <v>1.32258064516129</v>
      </c>
      <c r="K9" s="7" t="n">
        <v>630</v>
      </c>
      <c r="L9" s="10" t="n">
        <v>14</v>
      </c>
      <c r="M9" s="11" t="n">
        <v>0.048</v>
      </c>
      <c r="N9" s="11" t="n">
        <v>0.076</v>
      </c>
      <c r="O9" s="5" t="n">
        <v>3000</v>
      </c>
      <c r="P9" s="9" t="n">
        <f aca="false">IF(C9&gt;0,O9/C9,"")</f>
        <v>0.0545454545454545</v>
      </c>
      <c r="Q9" s="11"/>
      <c r="R9" s="12" t="n">
        <v>0.96</v>
      </c>
    </row>
    <row r="10" customFormat="false" ht="15" hidden="false" customHeight="false" outlineLevel="0" collapsed="false">
      <c r="A10" s="3" t="s">
        <v>30</v>
      </c>
      <c r="B10" s="13" t="s">
        <v>31</v>
      </c>
      <c r="C10" s="14" t="n">
        <v>40000</v>
      </c>
      <c r="D10" s="15" t="n">
        <v>8</v>
      </c>
      <c r="E10" s="16" t="n">
        <v>500</v>
      </c>
      <c r="F10" s="16" t="n">
        <v>480</v>
      </c>
      <c r="G10" s="16" t="n">
        <v>600</v>
      </c>
      <c r="H10" s="16" t="n">
        <v>220</v>
      </c>
      <c r="I10" s="17" t="n">
        <f aca="false">F10-H10</f>
        <v>260</v>
      </c>
      <c r="J10" s="18" t="n">
        <f aca="false">IF(H10&gt;0,(F10-H10)/H10,"")</f>
        <v>1.18181818181818</v>
      </c>
      <c r="K10" s="16" t="n">
        <v>380</v>
      </c>
      <c r="L10" s="19" t="n">
        <v>9</v>
      </c>
      <c r="M10" s="20" t="n">
        <v>0.035</v>
      </c>
      <c r="N10" s="20" t="n">
        <v>0.04</v>
      </c>
      <c r="O10" s="14" t="n">
        <v>2500</v>
      </c>
      <c r="P10" s="18" t="n">
        <f aca="false">IF(C10&gt;0,O10/C10,"")</f>
        <v>0.0625</v>
      </c>
      <c r="Q10" s="20"/>
      <c r="R10" s="21" t="n">
        <v>0.95</v>
      </c>
    </row>
    <row r="11" customFormat="false" ht="15" hidden="false" customHeight="false" outlineLevel="0" collapsed="false">
      <c r="A11" s="3" t="s">
        <v>32</v>
      </c>
      <c r="B11" s="4" t="s">
        <v>31</v>
      </c>
      <c r="C11" s="5" t="n">
        <v>45000</v>
      </c>
      <c r="D11" s="6" t="n">
        <v>9</v>
      </c>
      <c r="E11" s="7" t="n">
        <v>500</v>
      </c>
      <c r="F11" s="7" t="n">
        <v>470</v>
      </c>
      <c r="G11" s="7" t="n">
        <v>580</v>
      </c>
      <c r="H11" s="7" t="n">
        <v>230</v>
      </c>
      <c r="I11" s="8" t="n">
        <f aca="false">F11-H11</f>
        <v>240</v>
      </c>
      <c r="J11" s="9" t="n">
        <f aca="false">IF(H11&gt;0,(F11-H11)/H11,"")</f>
        <v>1.04347826086957</v>
      </c>
      <c r="K11" s="7" t="n">
        <v>350</v>
      </c>
      <c r="L11" s="10" t="n">
        <v>8.5</v>
      </c>
      <c r="M11" s="11" t="n">
        <v>0.035</v>
      </c>
      <c r="N11" s="11" t="n">
        <v>0.035</v>
      </c>
      <c r="O11" s="5" t="n">
        <v>2000</v>
      </c>
      <c r="P11" s="9" t="n">
        <f aca="false">IF(C11&gt;0,O11/C11,"")</f>
        <v>0.0444444444444444</v>
      </c>
      <c r="Q11" s="11"/>
      <c r="R11" s="12" t="n">
        <v>0.95</v>
      </c>
    </row>
    <row r="12" customFormat="false" ht="15" hidden="false" customHeight="false" outlineLevel="0" collapsed="false">
      <c r="A12" s="3" t="s">
        <v>33</v>
      </c>
      <c r="B12" s="13" t="s">
        <v>20</v>
      </c>
      <c r="C12" s="14" t="n">
        <v>35000</v>
      </c>
      <c r="D12" s="15" t="n">
        <v>5</v>
      </c>
      <c r="E12" s="16" t="n">
        <v>580</v>
      </c>
      <c r="F12" s="16" t="n">
        <v>550</v>
      </c>
      <c r="G12" s="16" t="n">
        <v>700</v>
      </c>
      <c r="H12" s="16" t="n">
        <v>280</v>
      </c>
      <c r="I12" s="17" t="n">
        <f aca="false">F12-H12</f>
        <v>270</v>
      </c>
      <c r="J12" s="18" t="n">
        <f aca="false">IF(H12&gt;0,(F12-H12)/H12,"")</f>
        <v>0.964285714285714</v>
      </c>
      <c r="K12" s="16" t="n">
        <v>420</v>
      </c>
      <c r="L12" s="19" t="n">
        <v>11.65</v>
      </c>
      <c r="M12" s="20" t="n">
        <v>0.04</v>
      </c>
      <c r="N12" s="20" t="n">
        <v>0.04</v>
      </c>
      <c r="O12" s="14" t="n">
        <v>1500</v>
      </c>
      <c r="P12" s="18" t="n">
        <f aca="false">IF(C12&gt;0,O12/C12,"")</f>
        <v>0.0428571428571429</v>
      </c>
      <c r="Q12" s="20"/>
      <c r="R12" s="21" t="n">
        <v>0.95</v>
      </c>
    </row>
    <row r="13" customFormat="false" ht="15" hidden="false" customHeight="false" outlineLevel="0" collapsed="false">
      <c r="A13" s="3" t="s">
        <v>34</v>
      </c>
      <c r="B13" s="4" t="s">
        <v>35</v>
      </c>
      <c r="C13" s="5" t="n">
        <v>50000</v>
      </c>
      <c r="D13" s="6" t="n">
        <v>9</v>
      </c>
      <c r="E13" s="7" t="n">
        <v>550</v>
      </c>
      <c r="F13" s="7" t="n">
        <v>520</v>
      </c>
      <c r="G13" s="7" t="n">
        <v>650</v>
      </c>
      <c r="H13" s="7" t="n">
        <v>270</v>
      </c>
      <c r="I13" s="8" t="n">
        <f aca="false">F13-H13</f>
        <v>250</v>
      </c>
      <c r="J13" s="9" t="n">
        <f aca="false">IF(H13&gt;0,(F13-H13)/H13,"")</f>
        <v>0.925925925925926</v>
      </c>
      <c r="K13" s="7" t="n">
        <v>400</v>
      </c>
      <c r="L13" s="10" t="n">
        <v>10.5</v>
      </c>
      <c r="M13" s="11" t="n">
        <v>0.04</v>
      </c>
      <c r="N13" s="11" t="n">
        <v>0.04</v>
      </c>
      <c r="O13" s="5" t="n">
        <v>2000</v>
      </c>
      <c r="P13" s="9" t="n">
        <f aca="false">IF(C13&gt;0,O13/C13,"")</f>
        <v>0.04</v>
      </c>
      <c r="Q13" s="11"/>
      <c r="R13" s="12" t="n">
        <v>0.95</v>
      </c>
    </row>
    <row r="14" customFormat="false" ht="15" hidden="false" customHeight="false" outlineLevel="0" collapsed="false">
      <c r="A14" s="3" t="s">
        <v>36</v>
      </c>
      <c r="B14" s="13" t="s">
        <v>24</v>
      </c>
      <c r="C14" s="14" t="n">
        <v>35000</v>
      </c>
      <c r="D14" s="15" t="n">
        <v>5</v>
      </c>
      <c r="E14" s="16" t="n">
        <v>580</v>
      </c>
      <c r="F14" s="16" t="n">
        <v>560</v>
      </c>
      <c r="G14" s="16" t="n">
        <v>700</v>
      </c>
      <c r="H14" s="16" t="n">
        <v>290</v>
      </c>
      <c r="I14" s="17" t="n">
        <f aca="false">F14-H14</f>
        <v>270</v>
      </c>
      <c r="J14" s="18" t="n">
        <f aca="false">IF(H14&gt;0,(F14-H14)/H14,"")</f>
        <v>0.931034482758621</v>
      </c>
      <c r="K14" s="16" t="n">
        <v>510</v>
      </c>
      <c r="L14" s="19" t="n">
        <v>12</v>
      </c>
      <c r="M14" s="20" t="n">
        <v>0.04</v>
      </c>
      <c r="N14" s="20" t="n">
        <v>0.045</v>
      </c>
      <c r="O14" s="14" t="n">
        <v>1800</v>
      </c>
      <c r="P14" s="18" t="n">
        <f aca="false">IF(C14&gt;0,O14/C14,"")</f>
        <v>0.0514285714285714</v>
      </c>
      <c r="Q14" s="20"/>
      <c r="R14" s="21" t="n">
        <v>0.95</v>
      </c>
    </row>
    <row r="15" customFormat="false" ht="15" hidden="false" customHeight="false" outlineLevel="0" collapsed="false">
      <c r="A15" s="3" t="s">
        <v>37</v>
      </c>
      <c r="B15" s="4" t="s">
        <v>24</v>
      </c>
      <c r="C15" s="5" t="n">
        <v>65000</v>
      </c>
      <c r="D15" s="6" t="n">
        <v>8</v>
      </c>
      <c r="E15" s="7" t="n">
        <v>550</v>
      </c>
      <c r="F15" s="7" t="n">
        <v>530</v>
      </c>
      <c r="G15" s="7" t="n">
        <v>680</v>
      </c>
      <c r="H15" s="7" t="n">
        <v>260</v>
      </c>
      <c r="I15" s="8" t="n">
        <f aca="false">F15-H15</f>
        <v>270</v>
      </c>
      <c r="J15" s="9" t="n">
        <f aca="false">IF(H15&gt;0,(F15-H15)/H15,"")</f>
        <v>1.03846153846154</v>
      </c>
      <c r="K15" s="7" t="n">
        <v>480</v>
      </c>
      <c r="L15" s="10" t="n">
        <v>11</v>
      </c>
      <c r="M15" s="11" t="n">
        <v>0.04</v>
      </c>
      <c r="N15" s="11" t="n">
        <v>0.04</v>
      </c>
      <c r="O15" s="5" t="n">
        <v>2500</v>
      </c>
      <c r="P15" s="9" t="n">
        <f aca="false">IF(C15&gt;0,O15/C15,"")</f>
        <v>0.0384615384615385</v>
      </c>
      <c r="Q15" s="11"/>
      <c r="R15" s="12" t="n">
        <v>0.95</v>
      </c>
    </row>
    <row r="16" customFormat="false" ht="15" hidden="false" customHeight="false" outlineLevel="0" collapsed="false">
      <c r="A16" s="3" t="s">
        <v>38</v>
      </c>
      <c r="B16" s="13" t="s">
        <v>24</v>
      </c>
      <c r="C16" s="14" t="n">
        <v>55000</v>
      </c>
      <c r="D16" s="15" t="n">
        <v>6</v>
      </c>
      <c r="E16" s="16" t="n">
        <v>450</v>
      </c>
      <c r="F16" s="16" t="n">
        <v>430</v>
      </c>
      <c r="G16" s="16" t="n">
        <v>550</v>
      </c>
      <c r="H16" s="16" t="n">
        <v>240</v>
      </c>
      <c r="I16" s="17" t="n">
        <f aca="false">F16-H16</f>
        <v>190</v>
      </c>
      <c r="J16" s="18" t="n">
        <f aca="false">IF(H16&gt;0,(F16-H16)/H16,"")</f>
        <v>0.791666666666667</v>
      </c>
      <c r="K16" s="16" t="n">
        <v>370</v>
      </c>
      <c r="L16" s="19" t="n">
        <v>8.5</v>
      </c>
      <c r="M16" s="20" t="n">
        <v>0.035</v>
      </c>
      <c r="N16" s="20" t="n">
        <v>0.035</v>
      </c>
      <c r="O16" s="14" t="n">
        <v>1500</v>
      </c>
      <c r="P16" s="18" t="n">
        <f aca="false">IF(C16&gt;0,O16/C16,"")</f>
        <v>0.0272727272727273</v>
      </c>
      <c r="Q16" s="20"/>
      <c r="R16" s="21" t="n">
        <v>0.95</v>
      </c>
    </row>
    <row r="17" customFormat="false" ht="15" hidden="false" customHeight="false" outlineLevel="0" collapsed="false">
      <c r="A17" s="3" t="s">
        <v>39</v>
      </c>
      <c r="B17" s="4" t="s">
        <v>24</v>
      </c>
      <c r="C17" s="5" t="n">
        <v>42000</v>
      </c>
      <c r="D17" s="6" t="n">
        <v>5</v>
      </c>
      <c r="E17" s="7" t="n">
        <v>470</v>
      </c>
      <c r="F17" s="7" t="n">
        <v>450</v>
      </c>
      <c r="G17" s="7" t="n">
        <v>570</v>
      </c>
      <c r="H17" s="7" t="n">
        <v>250</v>
      </c>
      <c r="I17" s="8" t="n">
        <f aca="false">F17-H17</f>
        <v>200</v>
      </c>
      <c r="J17" s="9" t="n">
        <f aca="false">IF(H17&gt;0,(F17-H17)/H17,"")</f>
        <v>0.8</v>
      </c>
      <c r="K17" s="7" t="n">
        <v>380</v>
      </c>
      <c r="L17" s="10" t="n">
        <v>8.8</v>
      </c>
      <c r="M17" s="11" t="n">
        <v>0.035</v>
      </c>
      <c r="N17" s="11" t="n">
        <v>0.035</v>
      </c>
      <c r="O17" s="5" t="n">
        <v>1200</v>
      </c>
      <c r="P17" s="9" t="n">
        <f aca="false">IF(C17&gt;0,O17/C17,"")</f>
        <v>0.0285714285714286</v>
      </c>
      <c r="Q17" s="11"/>
      <c r="R17" s="12" t="n">
        <v>0.95</v>
      </c>
    </row>
    <row r="18" customFormat="false" ht="15" hidden="false" customHeight="false" outlineLevel="0" collapsed="false">
      <c r="A18" s="3" t="s">
        <v>40</v>
      </c>
      <c r="B18" s="13" t="s">
        <v>40</v>
      </c>
      <c r="C18" s="14" t="n">
        <v>35000</v>
      </c>
      <c r="D18" s="15" t="n">
        <v>5</v>
      </c>
      <c r="E18" s="16" t="n">
        <v>520</v>
      </c>
      <c r="F18" s="16" t="n">
        <v>500</v>
      </c>
      <c r="G18" s="16" t="n">
        <v>640</v>
      </c>
      <c r="H18" s="16" t="n">
        <v>270</v>
      </c>
      <c r="I18" s="17" t="n">
        <f aca="false">F18-H18</f>
        <v>230</v>
      </c>
      <c r="J18" s="18" t="n">
        <f aca="false">IF(H18&gt;0,(F18-H18)/H18,"")</f>
        <v>0.851851851851852</v>
      </c>
      <c r="K18" s="16" t="n">
        <v>400</v>
      </c>
      <c r="L18" s="19" t="n">
        <v>9.5</v>
      </c>
      <c r="M18" s="20" t="n">
        <v>0.035</v>
      </c>
      <c r="N18" s="20" t="n">
        <v>0.035</v>
      </c>
      <c r="O18" s="14" t="n">
        <v>1500</v>
      </c>
      <c r="P18" s="18" t="n">
        <f aca="false">IF(C18&gt;0,O18/C18,"")</f>
        <v>0.0428571428571429</v>
      </c>
      <c r="Q18" s="20"/>
      <c r="R18" s="21" t="n">
        <v>0.95</v>
      </c>
    </row>
    <row r="19" customFormat="false" ht="15" hidden="false" customHeight="false" outlineLevel="0" collapsed="false">
      <c r="A19" s="3" t="s">
        <v>41</v>
      </c>
      <c r="B19" s="4" t="s">
        <v>28</v>
      </c>
      <c r="C19" s="5" t="n">
        <v>35000</v>
      </c>
      <c r="D19" s="6" t="n">
        <v>5</v>
      </c>
      <c r="E19" s="7" t="n">
        <v>600</v>
      </c>
      <c r="F19" s="7" t="n">
        <v>580</v>
      </c>
      <c r="G19" s="7" t="n">
        <v>720</v>
      </c>
      <c r="H19" s="7" t="n">
        <v>300</v>
      </c>
      <c r="I19" s="8" t="n">
        <f aca="false">F19-H19</f>
        <v>280</v>
      </c>
      <c r="J19" s="9" t="n">
        <f aca="false">IF(H19&gt;0,(F19-H19)/H19,"")</f>
        <v>0.933333333333333</v>
      </c>
      <c r="K19" s="7" t="n">
        <v>470</v>
      </c>
      <c r="L19" s="10" t="n">
        <v>13</v>
      </c>
      <c r="M19" s="11" t="n">
        <v>0.04</v>
      </c>
      <c r="N19" s="11" t="n">
        <v>0.04</v>
      </c>
      <c r="O19" s="5" t="n">
        <v>1500</v>
      </c>
      <c r="P19" s="9" t="n">
        <f aca="false">IF(C19&gt;0,O19/C19,"")</f>
        <v>0.0428571428571429</v>
      </c>
      <c r="Q19" s="11"/>
      <c r="R19" s="12" t="n">
        <v>0.95</v>
      </c>
    </row>
    <row r="20" customFormat="false" ht="15" hidden="false" customHeight="false" outlineLevel="0" collapsed="false">
      <c r="A20" s="3" t="s">
        <v>42</v>
      </c>
      <c r="B20" s="13" t="s">
        <v>28</v>
      </c>
      <c r="C20" s="14" t="n">
        <v>38000</v>
      </c>
      <c r="D20" s="15" t="n">
        <v>5</v>
      </c>
      <c r="E20" s="16" t="n">
        <v>620</v>
      </c>
      <c r="F20" s="16" t="n">
        <v>600</v>
      </c>
      <c r="G20" s="16" t="n">
        <v>750</v>
      </c>
      <c r="H20" s="16" t="n">
        <v>310</v>
      </c>
      <c r="I20" s="17" t="n">
        <f aca="false">F20-H20</f>
        <v>290</v>
      </c>
      <c r="J20" s="18" t="n">
        <f aca="false">IF(H20&gt;0,(F20-H20)/H20,"")</f>
        <v>0.935483870967742</v>
      </c>
      <c r="K20" s="16" t="n">
        <v>490</v>
      </c>
      <c r="L20" s="19" t="n">
        <v>13.5</v>
      </c>
      <c r="M20" s="20" t="n">
        <v>0.04</v>
      </c>
      <c r="N20" s="20" t="n">
        <v>0.04</v>
      </c>
      <c r="O20" s="14" t="n">
        <v>1500</v>
      </c>
      <c r="P20" s="18" t="n">
        <f aca="false">IF(C20&gt;0,O20/C20,"")</f>
        <v>0.0394736842105263</v>
      </c>
      <c r="Q20" s="20"/>
      <c r="R20" s="21" t="n">
        <v>0.95</v>
      </c>
    </row>
    <row r="21" customFormat="false" ht="15" hidden="false" customHeight="false" outlineLevel="0" collapsed="false">
      <c r="A21" s="3" t="s">
        <v>43</v>
      </c>
      <c r="B21" s="4" t="s">
        <v>24</v>
      </c>
      <c r="C21" s="5" t="n">
        <v>60000</v>
      </c>
      <c r="D21" s="6" t="n">
        <v>4</v>
      </c>
      <c r="E21" s="7" t="n">
        <v>480</v>
      </c>
      <c r="F21" s="7" t="n">
        <v>460</v>
      </c>
      <c r="G21" s="7" t="n">
        <v>580</v>
      </c>
      <c r="H21" s="7" t="n">
        <v>250</v>
      </c>
      <c r="I21" s="8" t="n">
        <f aca="false">F21-H21</f>
        <v>210</v>
      </c>
      <c r="J21" s="9" t="n">
        <f aca="false">IF(H21&gt;0,(F21-H21)/H21,"")</f>
        <v>0.84</v>
      </c>
      <c r="K21" s="7" t="n">
        <v>390</v>
      </c>
      <c r="L21" s="10" t="n">
        <v>9.5</v>
      </c>
      <c r="M21" s="11" t="n">
        <v>0.035</v>
      </c>
      <c r="N21" s="11" t="n">
        <v>0.035</v>
      </c>
      <c r="O21" s="5" t="n">
        <v>2000</v>
      </c>
      <c r="P21" s="9" t="n">
        <f aca="false">IF(C21&gt;0,O21/C21,"")</f>
        <v>0.0333333333333333</v>
      </c>
      <c r="Q21" s="11"/>
      <c r="R21" s="12" t="n">
        <v>0.95</v>
      </c>
    </row>
    <row r="22" customFormat="false" ht="15" hidden="false" customHeight="false" outlineLevel="0" collapsed="false">
      <c r="A22" s="3" t="s">
        <v>44</v>
      </c>
      <c r="B22" s="13" t="s">
        <v>28</v>
      </c>
      <c r="C22" s="14" t="n">
        <v>43000</v>
      </c>
      <c r="D22" s="15" t="n">
        <v>9</v>
      </c>
      <c r="E22" s="16" t="n">
        <v>550</v>
      </c>
      <c r="F22" s="16" t="n">
        <v>530</v>
      </c>
      <c r="G22" s="16" t="n">
        <v>660</v>
      </c>
      <c r="H22" s="16" t="n">
        <v>280</v>
      </c>
      <c r="I22" s="17" t="n">
        <f aca="false">F22-H22</f>
        <v>250</v>
      </c>
      <c r="J22" s="18" t="n">
        <f aca="false">IF(H22&gt;0,(F22-H22)/H22,"")</f>
        <v>0.892857142857143</v>
      </c>
      <c r="K22" s="16" t="n">
        <v>430</v>
      </c>
      <c r="L22" s="19" t="n">
        <v>11</v>
      </c>
      <c r="M22" s="20" t="n">
        <v>0.04</v>
      </c>
      <c r="N22" s="20" t="n">
        <v>0.04</v>
      </c>
      <c r="O22" s="14" t="n">
        <v>1800</v>
      </c>
      <c r="P22" s="18" t="n">
        <f aca="false">IF(C22&gt;0,O22/C22,"")</f>
        <v>0.0418604651162791</v>
      </c>
      <c r="Q22" s="20"/>
      <c r="R22" s="21" t="n">
        <v>0.95</v>
      </c>
    </row>
    <row r="23" customFormat="false" ht="15" hidden="false" customHeight="false" outlineLevel="0" collapsed="false">
      <c r="A23" s="3" t="s">
        <v>45</v>
      </c>
      <c r="B23" s="4" t="s">
        <v>35</v>
      </c>
      <c r="C23" s="5" t="n">
        <v>32000</v>
      </c>
      <c r="D23" s="6" t="n">
        <v>3</v>
      </c>
      <c r="E23" s="7" t="n">
        <v>450</v>
      </c>
      <c r="F23" s="7" t="n">
        <v>430</v>
      </c>
      <c r="G23" s="7" t="n">
        <v>540</v>
      </c>
      <c r="H23" s="7" t="n">
        <v>230</v>
      </c>
      <c r="I23" s="8" t="n">
        <f aca="false">F23-H23</f>
        <v>200</v>
      </c>
      <c r="J23" s="9" t="n">
        <f aca="false">IF(H23&gt;0,(F23-H23)/H23,"")</f>
        <v>0.869565217391304</v>
      </c>
      <c r="K23" s="7" t="n">
        <v>370</v>
      </c>
      <c r="L23" s="10" t="n">
        <v>9</v>
      </c>
      <c r="M23" s="11" t="n">
        <v>0.035</v>
      </c>
      <c r="N23" s="11" t="n">
        <v>0.035</v>
      </c>
      <c r="O23" s="5" t="n">
        <v>1200</v>
      </c>
      <c r="P23" s="9" t="n">
        <f aca="false">IF(C23&gt;0,O23/C23,"")</f>
        <v>0.0375</v>
      </c>
      <c r="Q23" s="11"/>
      <c r="R23" s="12" t="n">
        <v>0.95</v>
      </c>
    </row>
    <row r="24" customFormat="false" ht="15" hidden="false" customHeight="false" outlineLevel="0" collapsed="false">
      <c r="A24" s="3" t="s">
        <v>46</v>
      </c>
      <c r="B24" s="13" t="s">
        <v>20</v>
      </c>
      <c r="C24" s="14" t="n">
        <v>35000</v>
      </c>
      <c r="D24" s="15" t="n">
        <v>4</v>
      </c>
      <c r="E24" s="16" t="n">
        <v>480</v>
      </c>
      <c r="F24" s="16" t="n">
        <v>460</v>
      </c>
      <c r="G24" s="16" t="n">
        <v>580</v>
      </c>
      <c r="H24" s="16" t="n">
        <v>280</v>
      </c>
      <c r="I24" s="17" t="n">
        <f aca="false">F24-H24</f>
        <v>180</v>
      </c>
      <c r="J24" s="18" t="n">
        <f aca="false">IF(H24&gt;0,(F24-H24)/H24,"")</f>
        <v>0.642857142857143</v>
      </c>
      <c r="K24" s="16" t="n">
        <v>400</v>
      </c>
      <c r="L24" s="19" t="n">
        <v>10</v>
      </c>
      <c r="M24" s="20" t="n">
        <v>0.035</v>
      </c>
      <c r="N24" s="20" t="n">
        <v>0.035</v>
      </c>
      <c r="O24" s="14" t="n">
        <v>1200</v>
      </c>
      <c r="P24" s="18" t="n">
        <f aca="false">IF(C24&gt;0,O24/C24,"")</f>
        <v>0.0342857142857143</v>
      </c>
      <c r="Q24" s="20"/>
      <c r="R24" s="21" t="n">
        <v>0.95</v>
      </c>
    </row>
    <row r="25" customFormat="false" ht="15" hidden="false" customHeight="false" outlineLevel="0" collapsed="false">
      <c r="A25" s="3" t="s">
        <v>47</v>
      </c>
      <c r="B25" s="4" t="s">
        <v>48</v>
      </c>
      <c r="C25" s="5" t="n">
        <v>40000</v>
      </c>
      <c r="D25" s="6" t="n">
        <v>5</v>
      </c>
      <c r="E25" s="7" t="n">
        <v>530</v>
      </c>
      <c r="F25" s="7" t="n">
        <v>510</v>
      </c>
      <c r="G25" s="7" t="n">
        <v>640</v>
      </c>
      <c r="H25" s="7" t="n">
        <v>270</v>
      </c>
      <c r="I25" s="8" t="n">
        <f aca="false">F25-H25</f>
        <v>240</v>
      </c>
      <c r="J25" s="9" t="n">
        <f aca="false">IF(H25&gt;0,(F25-H25)/H25,"")</f>
        <v>0.888888888888889</v>
      </c>
      <c r="K25" s="7" t="n">
        <v>430</v>
      </c>
      <c r="L25" s="10" t="n">
        <v>11.5</v>
      </c>
      <c r="M25" s="11" t="n">
        <v>0.035</v>
      </c>
      <c r="N25" s="11" t="n">
        <v>0.04</v>
      </c>
      <c r="O25" s="5" t="n">
        <v>1500</v>
      </c>
      <c r="P25" s="9" t="n">
        <f aca="false">IF(C25&gt;0,O25/C25,"")</f>
        <v>0.0375</v>
      </c>
      <c r="Q25" s="11"/>
      <c r="R25" s="12" t="n">
        <v>0.95</v>
      </c>
    </row>
    <row r="26" customFormat="false" ht="15" hidden="false" customHeight="false" outlineLevel="0" collapsed="false">
      <c r="A26" s="3" t="s">
        <v>49</v>
      </c>
      <c r="B26" s="13" t="s">
        <v>20</v>
      </c>
      <c r="C26" s="14" t="n">
        <v>40000</v>
      </c>
      <c r="D26" s="15" t="n">
        <v>2</v>
      </c>
      <c r="E26" s="16" t="n">
        <v>520</v>
      </c>
      <c r="F26" s="16" t="n">
        <v>500</v>
      </c>
      <c r="G26" s="16" t="n">
        <v>630</v>
      </c>
      <c r="H26" s="16" t="n">
        <v>270</v>
      </c>
      <c r="I26" s="17" t="n">
        <f aca="false">F26-H26</f>
        <v>230</v>
      </c>
      <c r="J26" s="18" t="n">
        <f aca="false">IF(H26&gt;0,(F26-H26)/H26,"")</f>
        <v>0.851851851851852</v>
      </c>
      <c r="K26" s="16" t="n">
        <v>410</v>
      </c>
      <c r="L26" s="19" t="n">
        <v>11</v>
      </c>
      <c r="M26" s="20" t="n">
        <v>0.035</v>
      </c>
      <c r="N26" s="20" t="n">
        <v>0.035</v>
      </c>
      <c r="O26" s="14" t="n">
        <v>1200</v>
      </c>
      <c r="P26" s="18" t="n">
        <f aca="false">IF(C26&gt;0,O26/C26,"")</f>
        <v>0.03</v>
      </c>
      <c r="Q26" s="20"/>
      <c r="R26" s="21" t="n">
        <v>0.95</v>
      </c>
    </row>
    <row r="27" customFormat="false" ht="15" hidden="false" customHeight="false" outlineLevel="0" collapsed="false">
      <c r="A27" s="3" t="s">
        <v>50</v>
      </c>
      <c r="B27" s="4" t="s">
        <v>20</v>
      </c>
      <c r="C27" s="5" t="n">
        <v>33000</v>
      </c>
      <c r="D27" s="6" t="n">
        <v>4</v>
      </c>
      <c r="E27" s="7" t="n">
        <v>500</v>
      </c>
      <c r="F27" s="7" t="n">
        <v>480</v>
      </c>
      <c r="G27" s="7" t="n">
        <v>600</v>
      </c>
      <c r="H27" s="7" t="n">
        <v>260</v>
      </c>
      <c r="I27" s="8" t="n">
        <f aca="false">F27-H27</f>
        <v>220</v>
      </c>
      <c r="J27" s="9" t="n">
        <f aca="false">IF(H27&gt;0,(F27-H27)/H27,"")</f>
        <v>0.846153846153846</v>
      </c>
      <c r="K27" s="7" t="n">
        <v>390</v>
      </c>
      <c r="L27" s="10" t="n">
        <v>10.5</v>
      </c>
      <c r="M27" s="11" t="n">
        <v>0.035</v>
      </c>
      <c r="N27" s="11" t="n">
        <v>0.035</v>
      </c>
      <c r="O27" s="5" t="n">
        <v>1000</v>
      </c>
      <c r="P27" s="9" t="n">
        <f aca="false">IF(C27&gt;0,O27/C27,"")</f>
        <v>0.0303030303030303</v>
      </c>
      <c r="Q27" s="11"/>
      <c r="R27" s="12" t="n">
        <v>0.95</v>
      </c>
    </row>
    <row r="28" customFormat="false" ht="15" hidden="false" customHeight="false" outlineLevel="0" collapsed="false">
      <c r="A28" s="3" t="s">
        <v>51</v>
      </c>
      <c r="B28" s="13" t="s">
        <v>20</v>
      </c>
      <c r="C28" s="14" t="n">
        <v>30000</v>
      </c>
      <c r="D28" s="15" t="n">
        <v>3</v>
      </c>
      <c r="E28" s="16" t="n">
        <v>480</v>
      </c>
      <c r="F28" s="16" t="n">
        <v>460</v>
      </c>
      <c r="G28" s="16" t="n">
        <v>580</v>
      </c>
      <c r="H28" s="16" t="n">
        <v>260</v>
      </c>
      <c r="I28" s="17" t="n">
        <f aca="false">F28-H28</f>
        <v>200</v>
      </c>
      <c r="J28" s="18" t="n">
        <f aca="false">IF(H28&gt;0,(F28-H28)/H28,"")</f>
        <v>0.769230769230769</v>
      </c>
      <c r="K28" s="16" t="n">
        <v>380</v>
      </c>
      <c r="L28" s="19" t="n">
        <v>10</v>
      </c>
      <c r="M28" s="20" t="n">
        <v>0.035</v>
      </c>
      <c r="N28" s="20" t="n">
        <v>0.035</v>
      </c>
      <c r="O28" s="14" t="n">
        <v>1000</v>
      </c>
      <c r="P28" s="18" t="n">
        <f aca="false">IF(C28&gt;0,O28/C28,"")</f>
        <v>0.0333333333333333</v>
      </c>
      <c r="Q28" s="20"/>
      <c r="R28" s="21" t="n">
        <v>0.95</v>
      </c>
    </row>
    <row r="29" customFormat="false" ht="15" hidden="false" customHeight="false" outlineLevel="0" collapsed="false">
      <c r="A29" s="3" t="s">
        <v>52</v>
      </c>
      <c r="B29" s="4" t="s">
        <v>53</v>
      </c>
      <c r="C29" s="5" t="n">
        <v>34000</v>
      </c>
      <c r="D29" s="6" t="n">
        <v>5</v>
      </c>
      <c r="E29" s="7" t="n">
        <v>450</v>
      </c>
      <c r="F29" s="7" t="n">
        <v>430</v>
      </c>
      <c r="G29" s="7" t="n">
        <v>540</v>
      </c>
      <c r="H29" s="7" t="n">
        <v>240</v>
      </c>
      <c r="I29" s="8" t="n">
        <f aca="false">F29-H29</f>
        <v>190</v>
      </c>
      <c r="J29" s="9" t="n">
        <f aca="false">IF(H29&gt;0,(F29-H29)/H29,"")</f>
        <v>0.791666666666667</v>
      </c>
      <c r="K29" s="7" t="n">
        <v>370</v>
      </c>
      <c r="L29" s="10" t="n">
        <v>9</v>
      </c>
      <c r="M29" s="11" t="n">
        <v>0.035</v>
      </c>
      <c r="N29" s="11" t="n">
        <v>0.035</v>
      </c>
      <c r="O29" s="5" t="n">
        <v>1000</v>
      </c>
      <c r="P29" s="9" t="n">
        <f aca="false">IF(C29&gt;0,O29/C29,"")</f>
        <v>0.0294117647058824</v>
      </c>
      <c r="Q29" s="11"/>
      <c r="R29" s="12" t="n">
        <v>0.95</v>
      </c>
    </row>
    <row r="30" customFormat="false" ht="15" hidden="false" customHeight="false" outlineLevel="0" collapsed="false">
      <c r="A30" s="3" t="s">
        <v>54</v>
      </c>
      <c r="B30" s="13" t="s">
        <v>55</v>
      </c>
      <c r="C30" s="14" t="n">
        <v>15000</v>
      </c>
      <c r="D30" s="15" t="n">
        <v>3</v>
      </c>
      <c r="E30" s="16" t="n">
        <v>380</v>
      </c>
      <c r="F30" s="16" t="n">
        <v>360</v>
      </c>
      <c r="G30" s="16" t="n">
        <v>450</v>
      </c>
      <c r="H30" s="16" t="n">
        <v>200</v>
      </c>
      <c r="I30" s="17" t="n">
        <f aca="false">F30-H30</f>
        <v>160</v>
      </c>
      <c r="J30" s="18" t="n">
        <f aca="false">IF(H30&gt;0,(F30-H30)/H30,"")</f>
        <v>0.8</v>
      </c>
      <c r="K30" s="16" t="n">
        <v>310</v>
      </c>
      <c r="L30" s="19" t="n">
        <v>7.5</v>
      </c>
      <c r="M30" s="20" t="n">
        <v>0.03</v>
      </c>
      <c r="N30" s="20" t="n">
        <v>0.03</v>
      </c>
      <c r="O30" s="14" t="n">
        <v>800</v>
      </c>
      <c r="P30" s="18" t="n">
        <f aca="false">IF(C30&gt;0,O30/C30,"")</f>
        <v>0.0533333333333333</v>
      </c>
      <c r="Q30" s="20"/>
      <c r="R30" s="21" t="n">
        <v>0.95</v>
      </c>
    </row>
    <row r="31" customFormat="false" ht="15" hidden="false" customHeight="false" outlineLevel="0" collapsed="false">
      <c r="A31" s="3" t="s">
        <v>56</v>
      </c>
      <c r="B31" s="4" t="s">
        <v>57</v>
      </c>
      <c r="C31" s="5" t="n">
        <v>20000</v>
      </c>
      <c r="D31" s="6" t="n">
        <v>3</v>
      </c>
      <c r="E31" s="7" t="n">
        <v>370</v>
      </c>
      <c r="F31" s="7" t="n">
        <v>350</v>
      </c>
      <c r="G31" s="7" t="n">
        <v>440</v>
      </c>
      <c r="H31" s="7" t="n">
        <v>200</v>
      </c>
      <c r="I31" s="8" t="n">
        <f aca="false">F31-H31</f>
        <v>150</v>
      </c>
      <c r="J31" s="9" t="n">
        <f aca="false">IF(H31&gt;0,(F31-H31)/H31,"")</f>
        <v>0.75</v>
      </c>
      <c r="K31" s="7" t="n">
        <v>330</v>
      </c>
      <c r="L31" s="10" t="n">
        <v>7</v>
      </c>
      <c r="M31" s="11" t="n">
        <v>0.03</v>
      </c>
      <c r="N31" s="11" t="n">
        <v>0.03</v>
      </c>
      <c r="O31" s="5" t="n">
        <v>800</v>
      </c>
      <c r="P31" s="9" t="n">
        <f aca="false">IF(C31&gt;0,O31/C31,"")</f>
        <v>0.04</v>
      </c>
      <c r="Q31" s="11"/>
      <c r="R31" s="12" t="n">
        <v>0.95</v>
      </c>
    </row>
    <row r="32" customFormat="false" ht="15" hidden="false" customHeight="false" outlineLevel="0" collapsed="false">
      <c r="A32" s="3" t="s">
        <v>58</v>
      </c>
      <c r="B32" s="13" t="s">
        <v>31</v>
      </c>
      <c r="C32" s="14" t="n">
        <v>10000</v>
      </c>
      <c r="D32" s="15" t="n">
        <v>2</v>
      </c>
      <c r="E32" s="16" t="n">
        <v>320</v>
      </c>
      <c r="F32" s="16" t="n">
        <v>300</v>
      </c>
      <c r="G32" s="16" t="n">
        <v>380</v>
      </c>
      <c r="H32" s="16" t="n">
        <v>180</v>
      </c>
      <c r="I32" s="17" t="n">
        <f aca="false">F32-H32</f>
        <v>120</v>
      </c>
      <c r="J32" s="18" t="n">
        <f aca="false">IF(H32&gt;0,(F32-H32)/H32,"")</f>
        <v>0.666666666666667</v>
      </c>
      <c r="K32" s="16" t="n">
        <v>265</v>
      </c>
      <c r="L32" s="19" t="n">
        <v>6</v>
      </c>
      <c r="M32" s="20" t="n">
        <v>0.03</v>
      </c>
      <c r="N32" s="20" t="n">
        <v>0.03</v>
      </c>
      <c r="O32" s="14" t="n">
        <v>500</v>
      </c>
      <c r="P32" s="18" t="n">
        <f aca="false">IF(C32&gt;0,O32/C32,"")</f>
        <v>0.05</v>
      </c>
      <c r="Q32" s="20"/>
      <c r="R32" s="21" t="n">
        <v>0.95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10" min="7" style="0" width="14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7" min="13" style="0" width="12"/>
    <col collapsed="false" customWidth="true" hidden="false" outlineLevel="0" max="18" min="18" style="0" width="50"/>
  </cols>
  <sheetData>
    <row r="1" customFormat="false" ht="17.35" hidden="false" customHeight="false" outlineLevel="0" collapsed="false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4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60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customFormat="false" ht="15" hidden="false" customHeight="false" outlineLevel="0" collapsed="false">
      <c r="A3" s="3" t="s">
        <v>61</v>
      </c>
      <c r="B3" s="13" t="s">
        <v>61</v>
      </c>
      <c r="C3" s="14" t="n">
        <v>186000</v>
      </c>
      <c r="D3" s="15" t="n">
        <v>22</v>
      </c>
      <c r="E3" s="16" t="n">
        <v>800</v>
      </c>
      <c r="F3" s="16" t="n">
        <v>695</v>
      </c>
      <c r="G3" s="16" t="n">
        <v>975</v>
      </c>
      <c r="H3" s="16" t="n">
        <v>380</v>
      </c>
      <c r="I3" s="17" t="n">
        <f aca="false">F3-H3</f>
        <v>315</v>
      </c>
      <c r="J3" s="18" t="n">
        <f aca="false">IF(H3&gt;0,(F3-H3)/H3,"")</f>
        <v>0.828947368421053</v>
      </c>
      <c r="K3" s="16" t="n">
        <v>550</v>
      </c>
      <c r="L3" s="19" t="n">
        <v>16</v>
      </c>
      <c r="M3" s="20" t="n">
        <v>0.055</v>
      </c>
      <c r="N3" s="20" t="n">
        <v>0.042</v>
      </c>
      <c r="O3" s="14" t="n">
        <v>18000</v>
      </c>
      <c r="P3" s="18" t="n">
        <f aca="false">IF(C3&gt;0,O3/C3,"")</f>
        <v>0.0967741935483871</v>
      </c>
      <c r="Q3" s="20"/>
      <c r="R3" s="21" t="n">
        <v>0.93</v>
      </c>
    </row>
    <row r="4" customFormat="false" ht="15" hidden="false" customHeight="false" outlineLevel="0" collapsed="false">
      <c r="A4" s="3" t="s">
        <v>62</v>
      </c>
      <c r="B4" s="13" t="s">
        <v>63</v>
      </c>
      <c r="C4" s="14" t="n">
        <v>60000</v>
      </c>
      <c r="D4" s="15" t="n">
        <v>8</v>
      </c>
      <c r="E4" s="16" t="n">
        <v>550</v>
      </c>
      <c r="F4" s="16" t="n">
        <v>480</v>
      </c>
      <c r="G4" s="16" t="n">
        <v>650</v>
      </c>
      <c r="H4" s="16" t="n">
        <v>330</v>
      </c>
      <c r="I4" s="17" t="n">
        <f aca="false">F4-H4</f>
        <v>150</v>
      </c>
      <c r="J4" s="18" t="n">
        <f aca="false">IF(H4&gt;0,(F4-H4)/H4,"")</f>
        <v>0.454545454545455</v>
      </c>
      <c r="K4" s="16" t="n">
        <v>400</v>
      </c>
      <c r="L4" s="19" t="n">
        <v>11</v>
      </c>
      <c r="M4" s="20" t="n">
        <v>0.05</v>
      </c>
      <c r="N4" s="20" t="n">
        <v>0.038</v>
      </c>
      <c r="O4" s="14" t="n">
        <v>5500</v>
      </c>
      <c r="P4" s="18" t="n">
        <f aca="false">IF(C4&gt;0,O4/C4,"")</f>
        <v>0.0916666666666667</v>
      </c>
      <c r="Q4" s="20"/>
      <c r="R4" s="21" t="n">
        <v>0.93</v>
      </c>
    </row>
    <row r="5" customFormat="false" ht="15" hidden="false" customHeight="false" outlineLevel="0" collapsed="false">
      <c r="A5" s="3" t="s">
        <v>64</v>
      </c>
      <c r="B5" s="13" t="s">
        <v>65</v>
      </c>
      <c r="C5" s="14" t="n">
        <v>35000</v>
      </c>
      <c r="D5" s="15" t="n">
        <v>5</v>
      </c>
      <c r="E5" s="16" t="n">
        <v>600</v>
      </c>
      <c r="F5" s="16" t="n">
        <v>520</v>
      </c>
      <c r="G5" s="16" t="n">
        <v>700</v>
      </c>
      <c r="H5" s="16" t="n">
        <v>350</v>
      </c>
      <c r="I5" s="17" t="n">
        <f aca="false">F5-H5</f>
        <v>170</v>
      </c>
      <c r="J5" s="18" t="n">
        <f aca="false">IF(H5&gt;0,(F5-H5)/H5,"")</f>
        <v>0.485714285714286</v>
      </c>
      <c r="K5" s="16" t="n">
        <v>420</v>
      </c>
      <c r="L5" s="19" t="n">
        <v>13.5</v>
      </c>
      <c r="M5" s="20" t="n">
        <v>0.05</v>
      </c>
      <c r="N5" s="20" t="n">
        <v>0.04</v>
      </c>
      <c r="O5" s="14" t="n">
        <v>3000</v>
      </c>
      <c r="P5" s="18" t="n">
        <f aca="false">IF(C5&gt;0,O5/C5,"")</f>
        <v>0.0857142857142857</v>
      </c>
      <c r="Q5" s="20"/>
      <c r="R5" s="21" t="n">
        <v>0.93</v>
      </c>
    </row>
    <row r="6" customFormat="false" ht="15" hidden="false" customHeight="false" outlineLevel="0" collapsed="false">
      <c r="A6" s="3" t="s">
        <v>66</v>
      </c>
      <c r="B6" s="13" t="s">
        <v>66</v>
      </c>
      <c r="C6" s="14" t="n">
        <v>22000</v>
      </c>
      <c r="D6" s="15" t="n">
        <v>4</v>
      </c>
      <c r="E6" s="16" t="n">
        <v>620</v>
      </c>
      <c r="F6" s="16" t="n">
        <v>540</v>
      </c>
      <c r="G6" s="16" t="n">
        <v>720</v>
      </c>
      <c r="H6" s="16" t="n">
        <v>360</v>
      </c>
      <c r="I6" s="17" t="n">
        <f aca="false">F6-H6</f>
        <v>180</v>
      </c>
      <c r="J6" s="18" t="n">
        <f aca="false">IF(H6&gt;0,(F6-H6)/H6,"")</f>
        <v>0.5</v>
      </c>
      <c r="K6" s="16" t="n">
        <v>440</v>
      </c>
      <c r="L6" s="19" t="n">
        <v>14</v>
      </c>
      <c r="M6" s="20" t="n">
        <v>0.05</v>
      </c>
      <c r="N6" s="20" t="n">
        <v>0.04</v>
      </c>
      <c r="O6" s="14" t="n">
        <v>2000</v>
      </c>
      <c r="P6" s="18" t="n">
        <f aca="false">IF(C6&gt;0,O6/C6,"")</f>
        <v>0.0909090909090909</v>
      </c>
      <c r="Q6" s="20"/>
      <c r="R6" s="21" t="n">
        <v>0.93</v>
      </c>
    </row>
    <row r="7" customFormat="false" ht="15" hidden="false" customHeight="false" outlineLevel="0" collapsed="false">
      <c r="A7" s="3" t="s">
        <v>67</v>
      </c>
      <c r="B7" s="13" t="s">
        <v>68</v>
      </c>
      <c r="C7" s="14" t="n">
        <v>25000</v>
      </c>
      <c r="D7" s="15" t="n">
        <v>4</v>
      </c>
      <c r="E7" s="16" t="n">
        <v>480</v>
      </c>
      <c r="F7" s="16" t="n">
        <v>420</v>
      </c>
      <c r="G7" s="16" t="n">
        <v>560</v>
      </c>
      <c r="H7" s="16" t="n">
        <v>300</v>
      </c>
      <c r="I7" s="17" t="n">
        <f aca="false">F7-H7</f>
        <v>120</v>
      </c>
      <c r="J7" s="18" t="n">
        <f aca="false">IF(H7&gt;0,(F7-H7)/H7,"")</f>
        <v>0.4</v>
      </c>
      <c r="K7" s="16" t="n">
        <v>370</v>
      </c>
      <c r="L7" s="19" t="n">
        <v>10.5</v>
      </c>
      <c r="M7" s="20" t="n">
        <v>0.045</v>
      </c>
      <c r="N7" s="20" t="n">
        <v>0.035</v>
      </c>
      <c r="O7" s="14" t="n">
        <v>2000</v>
      </c>
      <c r="P7" s="18" t="n">
        <f aca="false">IF(C7&gt;0,O7/C7,"")</f>
        <v>0.08</v>
      </c>
      <c r="Q7" s="20"/>
      <c r="R7" s="21" t="n">
        <v>0.93</v>
      </c>
    </row>
    <row r="8" customFormat="false" ht="15" hidden="false" customHeight="false" outlineLevel="0" collapsed="false">
      <c r="A8" s="3" t="s">
        <v>69</v>
      </c>
      <c r="B8" s="13" t="s">
        <v>70</v>
      </c>
      <c r="C8" s="14" t="n">
        <v>12000</v>
      </c>
      <c r="D8" s="15" t="n">
        <v>2</v>
      </c>
      <c r="E8" s="16" t="n">
        <v>400</v>
      </c>
      <c r="F8" s="16" t="n">
        <v>350</v>
      </c>
      <c r="G8" s="16" t="n">
        <v>470</v>
      </c>
      <c r="H8" s="16" t="n">
        <v>280</v>
      </c>
      <c r="I8" s="17" t="n">
        <f aca="false">F8-H8</f>
        <v>70</v>
      </c>
      <c r="J8" s="18" t="n">
        <f aca="false">IF(H8&gt;0,(F8-H8)/H8,"")</f>
        <v>0.25</v>
      </c>
      <c r="K8" s="16" t="n">
        <v>320</v>
      </c>
      <c r="L8" s="19" t="n">
        <v>8.5</v>
      </c>
      <c r="M8" s="20" t="n">
        <v>0.04</v>
      </c>
      <c r="N8" s="20" t="n">
        <v>0.03</v>
      </c>
      <c r="O8" s="14" t="n">
        <v>1000</v>
      </c>
      <c r="P8" s="18" t="n">
        <f aca="false">IF(C8&gt;0,O8/C8,"")</f>
        <v>0.0833333333333333</v>
      </c>
      <c r="Q8" s="20"/>
      <c r="R8" s="21" t="n">
        <v>0.93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</cols>
  <sheetData>
    <row r="1" customFormat="false" ht="17.35" hidden="false" customHeight="false" outlineLevel="0" collapsed="false">
      <c r="A1" s="22" t="s">
        <v>71</v>
      </c>
    </row>
    <row r="2" customFormat="false" ht="15" hidden="false" customHeight="false" outlineLevel="0" collapsed="false">
      <c r="A2" s="23"/>
    </row>
    <row r="3" customFormat="false" ht="15" hidden="false" customHeight="false" outlineLevel="0" collapsed="false">
      <c r="A3" s="23" t="s">
        <v>72</v>
      </c>
    </row>
    <row r="4" customFormat="false" ht="15" hidden="false" customHeight="false" outlineLevel="0" collapsed="false">
      <c r="A4" s="23"/>
    </row>
    <row r="5" customFormat="false" ht="15" hidden="false" customHeight="false" outlineLevel="0" collapsed="false">
      <c r="A5" s="24" t="s">
        <v>73</v>
      </c>
    </row>
    <row r="6" customFormat="false" ht="15" hidden="false" customHeight="false" outlineLevel="0" collapsed="false">
      <c r="A6" s="23" t="s">
        <v>74</v>
      </c>
    </row>
    <row r="7" customFormat="false" ht="15" hidden="false" customHeight="false" outlineLevel="0" collapsed="false">
      <c r="A7" s="23" t="s">
        <v>75</v>
      </c>
    </row>
    <row r="8" customFormat="false" ht="15" hidden="false" customHeight="false" outlineLevel="0" collapsed="false">
      <c r="A8" s="23" t="s">
        <v>76</v>
      </c>
    </row>
    <row r="9" customFormat="false" ht="15" hidden="false" customHeight="false" outlineLevel="0" collapsed="false">
      <c r="A9" s="23" t="s">
        <v>77</v>
      </c>
    </row>
    <row r="10" customFormat="false" ht="15" hidden="false" customHeight="false" outlineLevel="0" collapsed="false">
      <c r="A10" s="23"/>
    </row>
    <row r="11" customFormat="false" ht="15" hidden="false" customHeight="false" outlineLevel="0" collapsed="false">
      <c r="A11" s="24" t="s">
        <v>78</v>
      </c>
    </row>
    <row r="12" customFormat="false" ht="15" hidden="false" customHeight="false" outlineLevel="0" collapsed="false">
      <c r="A12" s="23" t="s">
        <v>79</v>
      </c>
    </row>
    <row r="13" customFormat="false" ht="15" hidden="false" customHeight="false" outlineLevel="0" collapsed="false">
      <c r="A13" s="23" t="s">
        <v>80</v>
      </c>
    </row>
    <row r="14" customFormat="false" ht="15" hidden="false" customHeight="false" outlineLevel="0" collapsed="false">
      <c r="A14" s="23" t="s">
        <v>81</v>
      </c>
    </row>
    <row r="15" customFormat="false" ht="15" hidden="false" customHeight="false" outlineLevel="0" collapsed="false">
      <c r="A15" s="23"/>
    </row>
    <row r="16" customFormat="false" ht="15" hidden="false" customHeight="false" outlineLevel="0" collapsed="false">
      <c r="A16" s="24" t="s">
        <v>82</v>
      </c>
    </row>
    <row r="17" customFormat="false" ht="15" hidden="false" customHeight="false" outlineLevel="0" collapsed="false">
      <c r="A17" s="23" t="s">
        <v>83</v>
      </c>
    </row>
    <row r="18" customFormat="false" ht="15" hidden="false" customHeight="false" outlineLevel="0" collapsed="false">
      <c r="A18" s="23" t="s">
        <v>84</v>
      </c>
    </row>
    <row r="19" customFormat="false" ht="15" hidden="false" customHeight="false" outlineLevel="0" collapsed="false">
      <c r="A19" s="23" t="s">
        <v>85</v>
      </c>
    </row>
    <row r="20" customFormat="false" ht="15" hidden="false" customHeight="false" outlineLevel="0" collapsed="false">
      <c r="A20" s="23" t="s">
        <v>86</v>
      </c>
    </row>
    <row r="21" customFormat="false" ht="15" hidden="false" customHeight="false" outlineLevel="0" collapsed="false">
      <c r="A21" s="23"/>
    </row>
    <row r="22" customFormat="false" ht="15" hidden="false" customHeight="false" outlineLevel="0" collapsed="false">
      <c r="A22" s="24" t="s">
        <v>87</v>
      </c>
    </row>
    <row r="23" customFormat="false" ht="15" hidden="false" customHeight="false" outlineLevel="0" collapsed="false">
      <c r="A23" s="23" t="s">
        <v>88</v>
      </c>
    </row>
    <row r="24" customFormat="false" ht="15" hidden="false" customHeight="false" outlineLevel="0" collapsed="false">
      <c r="A24" s="23" t="s">
        <v>89</v>
      </c>
    </row>
    <row r="25" customFormat="false" ht="15" hidden="false" customHeight="false" outlineLevel="0" collapsed="false">
      <c r="A25" s="23" t="s">
        <v>90</v>
      </c>
    </row>
    <row r="26" customFormat="false" ht="15" hidden="false" customHeight="false" outlineLevel="0" collapsed="false">
      <c r="A26" s="23" t="s">
        <v>91</v>
      </c>
    </row>
    <row r="27" customFormat="false" ht="15" hidden="false" customHeight="false" outlineLevel="0" collapsed="false">
      <c r="A27" s="23"/>
    </row>
    <row r="28" customFormat="false" ht="15" hidden="false" customHeight="false" outlineLevel="0" collapsed="false">
      <c r="A28" s="24" t="s">
        <v>92</v>
      </c>
    </row>
    <row r="29" customFormat="false" ht="15" hidden="false" customHeight="false" outlineLevel="0" collapsed="false">
      <c r="A29" s="23" t="s">
        <v>93</v>
      </c>
    </row>
    <row r="30" customFormat="false" ht="15" hidden="false" customHeight="false" outlineLevel="0" collapsed="false">
      <c r="A30" s="23" t="s">
        <v>94</v>
      </c>
    </row>
    <row r="31" customFormat="false" ht="15" hidden="false" customHeight="false" outlineLevel="0" collapsed="false">
      <c r="A31" s="23" t="s">
        <v>95</v>
      </c>
    </row>
    <row r="32" customFormat="false" ht="15" hidden="false" customHeight="false" outlineLevel="0" collapsed="false">
      <c r="A32" s="23"/>
    </row>
    <row r="33" customFormat="false" ht="15" hidden="false" customHeight="false" outlineLevel="0" collapsed="false">
      <c r="A33" s="24" t="s">
        <v>96</v>
      </c>
    </row>
    <row r="34" customFormat="false" ht="15" hidden="false" customHeight="false" outlineLevel="0" collapsed="false">
      <c r="A34" s="23" t="s">
        <v>97</v>
      </c>
    </row>
    <row r="35" customFormat="false" ht="15" hidden="false" customHeight="false" outlineLevel="0" collapsed="false">
      <c r="A35" s="23" t="s">
        <v>98</v>
      </c>
    </row>
    <row r="36" customFormat="false" ht="15" hidden="false" customHeight="false" outlineLevel="0" collapsed="false">
      <c r="A36" s="23" t="s">
        <v>99</v>
      </c>
    </row>
    <row r="37" customFormat="false" ht="15" hidden="false" customHeight="false" outlineLevel="0" collapsed="false">
      <c r="A37" s="23" t="s">
        <v>100</v>
      </c>
    </row>
    <row r="38" customFormat="false" ht="15" hidden="false" customHeight="false" outlineLevel="0" collapsed="false">
      <c r="A38" s="23"/>
    </row>
    <row r="39" customFormat="false" ht="15" hidden="false" customHeight="false" outlineLevel="0" collapsed="false">
      <c r="A39" s="24" t="s">
        <v>101</v>
      </c>
    </row>
    <row r="40" customFormat="false" ht="15" hidden="false" customHeight="false" outlineLevel="0" collapsed="false">
      <c r="A40" s="23" t="s">
        <v>102</v>
      </c>
    </row>
    <row r="41" customFormat="false" ht="15" hidden="false" customHeight="false" outlineLevel="0" collapsed="false">
      <c r="A41" s="23" t="s">
        <v>103</v>
      </c>
    </row>
    <row r="42" customFormat="false" ht="15" hidden="false" customHeight="false" outlineLevel="0" collapsed="false">
      <c r="A42" s="23" t="s">
        <v>104</v>
      </c>
    </row>
    <row r="43" customFormat="false" ht="15" hidden="false" customHeight="false" outlineLevel="0" collapsed="false">
      <c r="A43" s="23" t="s">
        <v>105</v>
      </c>
    </row>
    <row r="44" customFormat="false" ht="15" hidden="false" customHeight="false" outlineLevel="0" collapsed="false">
      <c r="A44" s="23" t="s">
        <v>106</v>
      </c>
    </row>
    <row r="45" customFormat="false" ht="15" hidden="false" customHeight="false" outlineLevel="0" collapsed="false">
      <c r="A45" s="23" t="s">
        <v>107</v>
      </c>
    </row>
    <row r="46" customFormat="false" ht="15" hidden="false" customHeight="false" outlineLevel="0" collapsed="false">
      <c r="A46" s="23" t="s">
        <v>108</v>
      </c>
    </row>
    <row r="47" customFormat="false" ht="15" hidden="false" customHeight="false" outlineLevel="0" collapsed="false">
      <c r="A47" s="23" t="s">
        <v>109</v>
      </c>
    </row>
    <row r="48" customFormat="false" ht="15" hidden="false" customHeight="false" outlineLevel="0" collapsed="false">
      <c r="A48" s="23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2026-03-29T03:20:01Z</dcterms:created>
  <dc:creator>openpyxl</dc:creator>
  <dc:description/>
  <dc:language>en-US</dc:language>
  <cp:lastModifiedBy/>
  <dcterms:modified xsi:type="dcterms:W3CDTF">2026-03-29T03:20:01Z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